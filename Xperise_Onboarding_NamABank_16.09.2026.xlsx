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9- LAM APP KIEM TIEN\LAM PHAN MEM KE HOACH\"/>
    </mc:Choice>
  </mc:AlternateContent>
  <bookViews>
    <workbookView xWindow="0" yWindow="0" windowWidth="22884" windowHeight="9048" activeTab="3"/>
  </bookViews>
  <sheets>
    <sheet name="Tổng quan" sheetId="1" r:id="rId1"/>
    <sheet name="Kế hoạch triển khai" sheetId="2" r:id="rId2"/>
    <sheet name="Sơ đồ chi tiết kế hoạch" sheetId="3" r:id="rId3"/>
    <sheet name="Lịch triển khai" sheetId="4" r:id="rId4"/>
  </sheets>
  <definedNames>
    <definedName name="_xlnm._FilterDatabase" localSheetId="1" hidden="1">'Kế hoạch triển khai'!$B$7:$P$33</definedName>
  </definedNames>
  <calcPr calcId="162913"/>
</workbook>
</file>

<file path=xl/calcChain.xml><?xml version="1.0" encoding="utf-8"?>
<calcChain xmlns="http://schemas.openxmlformats.org/spreadsheetml/2006/main">
  <c r="D16" i="1" l="1"/>
  <c r="E16" i="1" s="1"/>
  <c r="L34" i="4"/>
  <c r="K34" i="4"/>
  <c r="J34" i="4"/>
  <c r="AQ34" i="4" s="1"/>
  <c r="I34" i="4"/>
  <c r="G34" i="4"/>
  <c r="H34" i="4" s="1"/>
  <c r="AJ34" i="4" s="1"/>
  <c r="F34" i="4"/>
  <c r="E34" i="4"/>
  <c r="D34" i="4"/>
  <c r="C34" i="4"/>
  <c r="B34" i="4"/>
  <c r="AR33" i="4"/>
  <c r="AM33" i="4"/>
  <c r="T33" i="4"/>
  <c r="L33" i="4"/>
  <c r="K33" i="4"/>
  <c r="J33" i="4"/>
  <c r="I33" i="4"/>
  <c r="G33" i="4"/>
  <c r="H33" i="4" s="1"/>
  <c r="AJ33" i="4" s="1"/>
  <c r="F33" i="4"/>
  <c r="E33" i="4"/>
  <c r="D33" i="4"/>
  <c r="C33" i="4"/>
  <c r="B33" i="4"/>
  <c r="AH32" i="4"/>
  <c r="Z32" i="4"/>
  <c r="R32" i="4"/>
  <c r="O32" i="4"/>
  <c r="K32" i="4"/>
  <c r="J32" i="4"/>
  <c r="AE32" i="4" s="1"/>
  <c r="I32" i="4"/>
  <c r="G32" i="4"/>
  <c r="H32" i="4" s="1"/>
  <c r="W32" i="4" s="1"/>
  <c r="F32" i="4"/>
  <c r="E32" i="4"/>
  <c r="D32" i="4"/>
  <c r="C32" i="4"/>
  <c r="B32" i="4"/>
  <c r="U31" i="4"/>
  <c r="K31" i="4"/>
  <c r="J31" i="4"/>
  <c r="AH31" i="4" s="1"/>
  <c r="I31" i="4"/>
  <c r="G31" i="4"/>
  <c r="H31" i="4" s="1"/>
  <c r="AC31" i="4" s="1"/>
  <c r="F31" i="4"/>
  <c r="E31" i="4"/>
  <c r="D31" i="4"/>
  <c r="C31" i="4"/>
  <c r="B31" i="4"/>
  <c r="AN30" i="4"/>
  <c r="AK30" i="4"/>
  <c r="AF30" i="4"/>
  <c r="X30" i="4"/>
  <c r="U30" i="4"/>
  <c r="K30" i="4"/>
  <c r="J30" i="4"/>
  <c r="AM30" i="4" s="1"/>
  <c r="I30" i="4"/>
  <c r="H30" i="4"/>
  <c r="G30" i="4"/>
  <c r="F30" i="4"/>
  <c r="E30" i="4"/>
  <c r="D30" i="4"/>
  <c r="C30" i="4"/>
  <c r="B30" i="4"/>
  <c r="AI29" i="4"/>
  <c r="K29" i="4"/>
  <c r="J29" i="4"/>
  <c r="I29" i="4"/>
  <c r="H29" i="4"/>
  <c r="AA29" i="4" s="1"/>
  <c r="G29" i="4"/>
  <c r="F29" i="4"/>
  <c r="E29" i="4"/>
  <c r="D29" i="4"/>
  <c r="C29" i="4"/>
  <c r="B29" i="4"/>
  <c r="AQ28" i="4"/>
  <c r="AL28" i="4"/>
  <c r="AK28" i="4"/>
  <c r="AI28" i="4"/>
  <c r="AD28" i="4"/>
  <c r="AC28" i="4"/>
  <c r="AA28" i="4"/>
  <c r="V28" i="4"/>
  <c r="U28" i="4"/>
  <c r="S28" i="4"/>
  <c r="N28" i="4"/>
  <c r="M28" i="4"/>
  <c r="K28" i="4"/>
  <c r="J28" i="4"/>
  <c r="AR28" i="4" s="1"/>
  <c r="I28" i="4"/>
  <c r="H28" i="4"/>
  <c r="AO28" i="4" s="1"/>
  <c r="G28" i="4"/>
  <c r="F28" i="4"/>
  <c r="E28" i="4"/>
  <c r="D28" i="4"/>
  <c r="C28" i="4"/>
  <c r="B28" i="4"/>
  <c r="AO27" i="4"/>
  <c r="AL27" i="4"/>
  <c r="AG27" i="4"/>
  <c r="V27" i="4"/>
  <c r="P27" i="4"/>
  <c r="N27" i="4"/>
  <c r="K27" i="4"/>
  <c r="J27" i="4"/>
  <c r="I27" i="4"/>
  <c r="Y27" i="4" s="1"/>
  <c r="H27" i="4"/>
  <c r="AN27" i="4" s="1"/>
  <c r="G27" i="4"/>
  <c r="F27" i="4"/>
  <c r="E27" i="4"/>
  <c r="D27" i="4"/>
  <c r="C27" i="4"/>
  <c r="B27" i="4"/>
  <c r="AO26" i="4"/>
  <c r="AI26" i="4"/>
  <c r="AG26" i="4"/>
  <c r="S26" i="4"/>
  <c r="L26" i="4"/>
  <c r="K26" i="4"/>
  <c r="J26" i="4"/>
  <c r="I26" i="4"/>
  <c r="G26" i="4"/>
  <c r="H26" i="4" s="1"/>
  <c r="AQ26" i="4" s="1"/>
  <c r="F26" i="4"/>
  <c r="E26" i="4"/>
  <c r="D26" i="4"/>
  <c r="C26" i="4"/>
  <c r="B26" i="4"/>
  <c r="AL25" i="4"/>
  <c r="AJ25" i="4"/>
  <c r="AE25" i="4"/>
  <c r="AB25" i="4"/>
  <c r="W25" i="4"/>
  <c r="O25" i="4"/>
  <c r="N25" i="4"/>
  <c r="L25" i="4"/>
  <c r="K25" i="4"/>
  <c r="J25" i="4"/>
  <c r="AK25" i="4" s="1"/>
  <c r="I25" i="4"/>
  <c r="G25" i="4"/>
  <c r="H25" i="4" s="1"/>
  <c r="AM25" i="4" s="1"/>
  <c r="F25" i="4"/>
  <c r="E25" i="4"/>
  <c r="D25" i="4"/>
  <c r="C25" i="4"/>
  <c r="B25" i="4"/>
  <c r="AR24" i="4"/>
  <c r="AG24" i="4"/>
  <c r="AB24" i="4"/>
  <c r="Q24" i="4"/>
  <c r="L24" i="4"/>
  <c r="K24" i="4"/>
  <c r="J24" i="4"/>
  <c r="AM24" i="4" s="1"/>
  <c r="I24" i="4"/>
  <c r="G24" i="4"/>
  <c r="H24" i="4" s="1"/>
  <c r="AJ24" i="4" s="1"/>
  <c r="F24" i="4"/>
  <c r="C24" i="4"/>
  <c r="AH23" i="4"/>
  <c r="AC23" i="4"/>
  <c r="R23" i="4"/>
  <c r="M23" i="4"/>
  <c r="K23" i="4"/>
  <c r="J23" i="4"/>
  <c r="AE23" i="4" s="1"/>
  <c r="I23" i="4"/>
  <c r="G23" i="4"/>
  <c r="H23" i="4" s="1"/>
  <c r="AK23" i="4" s="1"/>
  <c r="F23" i="4"/>
  <c r="C23" i="4"/>
  <c r="AF22" i="4"/>
  <c r="P22" i="4"/>
  <c r="K22" i="4"/>
  <c r="J22" i="4"/>
  <c r="AH22" i="4" s="1"/>
  <c r="I22" i="4"/>
  <c r="H22" i="4"/>
  <c r="AM22" i="4" s="1"/>
  <c r="G22" i="4"/>
  <c r="F22" i="4"/>
  <c r="C22" i="4"/>
  <c r="AN21" i="4"/>
  <c r="AI21" i="4"/>
  <c r="X21" i="4"/>
  <c r="S21" i="4"/>
  <c r="K21" i="4"/>
  <c r="J21" i="4"/>
  <c r="AK21" i="4" s="1"/>
  <c r="I21" i="4"/>
  <c r="H21" i="4"/>
  <c r="G21" i="4"/>
  <c r="F21" i="4"/>
  <c r="C21" i="4"/>
  <c r="AQ20" i="4"/>
  <c r="AN20" i="4"/>
  <c r="AK20" i="4"/>
  <c r="AD20" i="4"/>
  <c r="AC20" i="4"/>
  <c r="AA20" i="4"/>
  <c r="X20" i="4"/>
  <c r="R20" i="4"/>
  <c r="P20" i="4"/>
  <c r="N20" i="4"/>
  <c r="K20" i="4"/>
  <c r="J20" i="4"/>
  <c r="I20" i="4"/>
  <c r="H20" i="4"/>
  <c r="G20" i="4"/>
  <c r="F20" i="4"/>
  <c r="C20" i="4"/>
  <c r="AL19" i="4"/>
  <c r="AK19" i="4"/>
  <c r="AI19" i="4"/>
  <c r="AF19" i="4"/>
  <c r="AA19" i="4"/>
  <c r="Y19" i="4"/>
  <c r="X19" i="4"/>
  <c r="V19" i="4"/>
  <c r="U19" i="4"/>
  <c r="P19" i="4"/>
  <c r="N19" i="4"/>
  <c r="M19" i="4"/>
  <c r="L19" i="4"/>
  <c r="K19" i="4"/>
  <c r="J19" i="4"/>
  <c r="I19" i="4"/>
  <c r="H19" i="4"/>
  <c r="AG19" i="4" s="1"/>
  <c r="G19" i="4"/>
  <c r="F19" i="4"/>
  <c r="C19" i="4"/>
  <c r="K18" i="4"/>
  <c r="J18" i="4"/>
  <c r="I18" i="4"/>
  <c r="G18" i="4"/>
  <c r="H18" i="4" s="1"/>
  <c r="F18" i="4"/>
  <c r="D18" i="4"/>
  <c r="C18" i="4"/>
  <c r="K17" i="4"/>
  <c r="J17" i="4"/>
  <c r="AL17" i="4" s="1"/>
  <c r="I17" i="4"/>
  <c r="G17" i="4"/>
  <c r="H17" i="4" s="1"/>
  <c r="F17" i="4"/>
  <c r="C17" i="4"/>
  <c r="AQ16" i="4"/>
  <c r="AO16" i="4"/>
  <c r="AH16" i="4"/>
  <c r="AE16" i="4"/>
  <c r="Y16" i="4"/>
  <c r="V16" i="4"/>
  <c r="O16" i="4"/>
  <c r="M16" i="4"/>
  <c r="K16" i="4"/>
  <c r="J16" i="4"/>
  <c r="AM16" i="4" s="1"/>
  <c r="I16" i="4"/>
  <c r="G16" i="4"/>
  <c r="H16" i="4" s="1"/>
  <c r="AJ16" i="4" s="1"/>
  <c r="F16" i="4"/>
  <c r="D16" i="4"/>
  <c r="C16" i="4"/>
  <c r="AL15" i="4"/>
  <c r="AD15" i="4"/>
  <c r="V15" i="4"/>
  <c r="N15" i="4"/>
  <c r="K15" i="4"/>
  <c r="J15" i="4"/>
  <c r="AM15" i="4" s="1"/>
  <c r="I15" i="4"/>
  <c r="H15" i="4"/>
  <c r="AO15" i="4" s="1"/>
  <c r="G15" i="4"/>
  <c r="F15" i="4"/>
  <c r="C15" i="4"/>
  <c r="K14" i="4"/>
  <c r="J14" i="4"/>
  <c r="AM14" i="4" s="1"/>
  <c r="I14" i="4"/>
  <c r="AK14" i="4" s="1"/>
  <c r="H14" i="4"/>
  <c r="G14" i="4"/>
  <c r="F14" i="4"/>
  <c r="C14" i="4"/>
  <c r="K13" i="4"/>
  <c r="J13" i="4"/>
  <c r="I13" i="4"/>
  <c r="G13" i="4"/>
  <c r="H13" i="4" s="1"/>
  <c r="F13" i="4"/>
  <c r="C13" i="4"/>
  <c r="K12" i="4"/>
  <c r="J12" i="4"/>
  <c r="I12" i="4"/>
  <c r="G12" i="4"/>
  <c r="H12" i="4" s="1"/>
  <c r="F12" i="4"/>
  <c r="C12" i="4"/>
  <c r="K11" i="4"/>
  <c r="J11" i="4"/>
  <c r="AN11" i="4" s="1"/>
  <c r="I11" i="4"/>
  <c r="G11" i="4"/>
  <c r="H11" i="4" s="1"/>
  <c r="F11" i="4"/>
  <c r="C11" i="4"/>
  <c r="B11" i="4"/>
  <c r="K10" i="4"/>
  <c r="J10" i="4"/>
  <c r="I10" i="4"/>
  <c r="G10" i="4"/>
  <c r="H10" i="4" s="1"/>
  <c r="F10" i="4"/>
  <c r="C10" i="4"/>
  <c r="K9" i="4"/>
  <c r="J9" i="4"/>
  <c r="AL9" i="4" s="1"/>
  <c r="I9" i="4"/>
  <c r="H9" i="4"/>
  <c r="AN9" i="4" s="1"/>
  <c r="G9" i="4"/>
  <c r="F9" i="4"/>
  <c r="C9" i="4"/>
  <c r="D5" i="4"/>
  <c r="P33" i="2"/>
  <c r="L33" i="2"/>
  <c r="G33" i="2"/>
  <c r="B33" i="2"/>
  <c r="P32" i="2"/>
  <c r="L32" i="2"/>
  <c r="G32" i="2"/>
  <c r="B32" i="2"/>
  <c r="P31" i="2"/>
  <c r="L31" i="2"/>
  <c r="G31" i="2"/>
  <c r="B31" i="2"/>
  <c r="P30" i="2"/>
  <c r="L30" i="2"/>
  <c r="G30" i="2"/>
  <c r="B30" i="2"/>
  <c r="P29" i="2"/>
  <c r="L29" i="2"/>
  <c r="G29" i="2"/>
  <c r="B29" i="2"/>
  <c r="P28" i="2"/>
  <c r="L28" i="2"/>
  <c r="G28" i="2"/>
  <c r="B28" i="2"/>
  <c r="P27" i="2"/>
  <c r="L27" i="2"/>
  <c r="G27" i="2"/>
  <c r="B27" i="2"/>
  <c r="P26" i="2"/>
  <c r="L26" i="2"/>
  <c r="G26" i="2"/>
  <c r="B26" i="2"/>
  <c r="P25" i="2"/>
  <c r="L25" i="2"/>
  <c r="G25" i="2"/>
  <c r="B25" i="2"/>
  <c r="P24" i="2"/>
  <c r="L24" i="2"/>
  <c r="G24" i="2"/>
  <c r="B24" i="2"/>
  <c r="P23" i="2"/>
  <c r="L23" i="2"/>
  <c r="E24" i="4" s="1"/>
  <c r="G23" i="2"/>
  <c r="D24" i="4" s="1"/>
  <c r="B23" i="2"/>
  <c r="B24" i="4" s="1"/>
  <c r="P22" i="2"/>
  <c r="L22" i="2"/>
  <c r="E23" i="4" s="1"/>
  <c r="G22" i="2"/>
  <c r="D23" i="4" s="1"/>
  <c r="B22" i="2"/>
  <c r="B23" i="4" s="1"/>
  <c r="P21" i="2"/>
  <c r="L21" i="2"/>
  <c r="E22" i="4" s="1"/>
  <c r="G21" i="2"/>
  <c r="D22" i="4" s="1"/>
  <c r="B21" i="2"/>
  <c r="B22" i="4" s="1"/>
  <c r="P20" i="2"/>
  <c r="L20" i="2"/>
  <c r="E21" i="4" s="1"/>
  <c r="G20" i="2"/>
  <c r="D21" i="4" s="1"/>
  <c r="B20" i="2"/>
  <c r="B21" i="4" s="1"/>
  <c r="P19" i="2"/>
  <c r="L19" i="2"/>
  <c r="E20" i="4" s="1"/>
  <c r="G19" i="2"/>
  <c r="D20" i="4" s="1"/>
  <c r="B19" i="2"/>
  <c r="B20" i="4" s="1"/>
  <c r="P18" i="2"/>
  <c r="L18" i="2"/>
  <c r="E19" i="4" s="1"/>
  <c r="G18" i="2"/>
  <c r="D19" i="4" s="1"/>
  <c r="B18" i="2"/>
  <c r="B19" i="4" s="1"/>
  <c r="P17" i="2"/>
  <c r="L17" i="2"/>
  <c r="E18" i="4" s="1"/>
  <c r="G17" i="2"/>
  <c r="B17" i="2"/>
  <c r="B18" i="4" s="1"/>
  <c r="P16" i="2"/>
  <c r="L16" i="2"/>
  <c r="E17" i="4" s="1"/>
  <c r="G16" i="2"/>
  <c r="D17" i="4" s="1"/>
  <c r="B16" i="2"/>
  <c r="B17" i="4" s="1"/>
  <c r="P15" i="2"/>
  <c r="L15" i="2"/>
  <c r="E16" i="4" s="1"/>
  <c r="G15" i="2"/>
  <c r="B15" i="2"/>
  <c r="B16" i="4" s="1"/>
  <c r="P14" i="2"/>
  <c r="L14" i="2"/>
  <c r="E29" i="1" s="1"/>
  <c r="G14" i="2"/>
  <c r="D15" i="4" s="1"/>
  <c r="B14" i="2"/>
  <c r="B15" i="4" s="1"/>
  <c r="P13" i="2"/>
  <c r="L13" i="2"/>
  <c r="E14" i="4" s="1"/>
  <c r="G13" i="2"/>
  <c r="D14" i="4" s="1"/>
  <c r="B13" i="2"/>
  <c r="B14" i="4" s="1"/>
  <c r="P12" i="2"/>
  <c r="L12" i="2"/>
  <c r="E13" i="4" s="1"/>
  <c r="G12" i="2"/>
  <c r="D13" i="4" s="1"/>
  <c r="B12" i="2"/>
  <c r="B13" i="4" s="1"/>
  <c r="P11" i="2"/>
  <c r="L11" i="2"/>
  <c r="E12" i="4" s="1"/>
  <c r="G11" i="2"/>
  <c r="D12" i="4" s="1"/>
  <c r="B11" i="2"/>
  <c r="B12" i="4" s="1"/>
  <c r="P10" i="2"/>
  <c r="I18" i="1" s="1"/>
  <c r="L10" i="2"/>
  <c r="E27" i="1" s="1"/>
  <c r="G10" i="2"/>
  <c r="G27" i="1" s="1"/>
  <c r="B10" i="2"/>
  <c r="P9" i="2"/>
  <c r="L9" i="2"/>
  <c r="E10" i="4" s="1"/>
  <c r="G9" i="2"/>
  <c r="D10" i="4" s="1"/>
  <c r="B9" i="2"/>
  <c r="B10" i="4" s="1"/>
  <c r="L8" i="2"/>
  <c r="E9" i="4" s="1"/>
  <c r="G8" i="2"/>
  <c r="D9" i="4" s="1"/>
  <c r="B8" i="2"/>
  <c r="B9" i="4" s="1"/>
  <c r="H32" i="1"/>
  <c r="G32" i="1"/>
  <c r="E32" i="1"/>
  <c r="B32" i="1"/>
  <c r="H31" i="1"/>
  <c r="G31" i="1"/>
  <c r="E31" i="1"/>
  <c r="B31" i="1"/>
  <c r="B30" i="1"/>
  <c r="H29" i="1"/>
  <c r="B29" i="1"/>
  <c r="H28" i="1"/>
  <c r="G28" i="1"/>
  <c r="B28" i="1"/>
  <c r="B27" i="1"/>
  <c r="G26" i="1"/>
  <c r="B26" i="1"/>
  <c r="I21" i="1"/>
  <c r="H21" i="1"/>
  <c r="I20" i="1"/>
  <c r="H20" i="1"/>
  <c r="D20" i="1"/>
  <c r="E20" i="1" s="1"/>
  <c r="I19" i="1"/>
  <c r="H19" i="1"/>
  <c r="D19" i="1"/>
  <c r="E19" i="1" s="1"/>
  <c r="H18" i="1"/>
  <c r="D18" i="1"/>
  <c r="E18" i="1" s="1"/>
  <c r="I17" i="1"/>
  <c r="H17" i="1"/>
  <c r="D17" i="1"/>
  <c r="E17" i="1" s="1"/>
  <c r="H16" i="1"/>
  <c r="B12" i="1"/>
  <c r="D11" i="1"/>
  <c r="B11" i="1"/>
  <c r="G7" i="1"/>
  <c r="I16" i="1" l="1"/>
  <c r="C11" i="1"/>
  <c r="B7" i="1" s="1"/>
  <c r="AO10" i="4"/>
  <c r="AG10" i="4"/>
  <c r="Y10" i="4"/>
  <c r="Q10" i="4"/>
  <c r="AN10" i="4"/>
  <c r="AF10" i="4"/>
  <c r="X10" i="4"/>
  <c r="P10" i="4"/>
  <c r="AM10" i="4"/>
  <c r="AE10" i="4"/>
  <c r="W10" i="4"/>
  <c r="O10" i="4"/>
  <c r="AL10" i="4"/>
  <c r="AD10" i="4"/>
  <c r="V10" i="4"/>
  <c r="N10" i="4"/>
  <c r="AK10" i="4"/>
  <c r="AC10" i="4"/>
  <c r="U10" i="4"/>
  <c r="M10" i="4"/>
  <c r="AK18" i="4"/>
  <c r="AC18" i="4"/>
  <c r="U18" i="4"/>
  <c r="M18" i="4"/>
  <c r="AQ18" i="4"/>
  <c r="AF18" i="4"/>
  <c r="V18" i="4"/>
  <c r="AO18" i="4"/>
  <c r="AE18" i="4"/>
  <c r="T18" i="4"/>
  <c r="AN18" i="4"/>
  <c r="AD18" i="4"/>
  <c r="S18" i="4"/>
  <c r="AM18" i="4"/>
  <c r="AB18" i="4"/>
  <c r="Q18" i="4"/>
  <c r="AL18" i="4"/>
  <c r="AA18" i="4"/>
  <c r="P18" i="4"/>
  <c r="AJ18" i="4"/>
  <c r="Y18" i="4"/>
  <c r="O18" i="4"/>
  <c r="AI18" i="4"/>
  <c r="X18" i="4"/>
  <c r="N18" i="4"/>
  <c r="AR18" i="4"/>
  <c r="AG18" i="4"/>
  <c r="W18" i="4"/>
  <c r="L18" i="4"/>
  <c r="AQ10" i="4"/>
  <c r="AM17" i="4"/>
  <c r="AB17" i="4"/>
  <c r="R17" i="4"/>
  <c r="AJ17" i="4"/>
  <c r="Z17" i="4"/>
  <c r="P17" i="4"/>
  <c r="Y13" i="4"/>
  <c r="Q13" i="4"/>
  <c r="AN13" i="4"/>
  <c r="AF13" i="4"/>
  <c r="X13" i="4"/>
  <c r="P13" i="4"/>
  <c r="AM13" i="4"/>
  <c r="AE13" i="4"/>
  <c r="W13" i="4"/>
  <c r="O13" i="4"/>
  <c r="AL13" i="4"/>
  <c r="AD13" i="4"/>
  <c r="V13" i="4"/>
  <c r="N13" i="4"/>
  <c r="AK13" i="4"/>
  <c r="AC13" i="4"/>
  <c r="U13" i="4"/>
  <c r="M13" i="4"/>
  <c r="AR13" i="4"/>
  <c r="AJ13" i="4"/>
  <c r="AB13" i="4"/>
  <c r="T13" i="4"/>
  <c r="L13" i="4"/>
  <c r="AO12" i="4"/>
  <c r="AG12" i="4"/>
  <c r="Y12" i="4"/>
  <c r="Q12" i="4"/>
  <c r="AM12" i="4"/>
  <c r="AE12" i="4"/>
  <c r="W12" i="4"/>
  <c r="O12" i="4"/>
  <c r="AP13" i="4"/>
  <c r="AK12" i="4"/>
  <c r="O9" i="4"/>
  <c r="W9" i="4"/>
  <c r="AE9" i="4"/>
  <c r="AM9" i="4"/>
  <c r="L10" i="4"/>
  <c r="T10" i="4"/>
  <c r="AB10" i="4"/>
  <c r="AJ10" i="4"/>
  <c r="AR10" i="4"/>
  <c r="Q11" i="4"/>
  <c r="Y11" i="4"/>
  <c r="AG11" i="4"/>
  <c r="AO11" i="4"/>
  <c r="N12" i="4"/>
  <c r="V12" i="4"/>
  <c r="AD12" i="4"/>
  <c r="AL12" i="4"/>
  <c r="S13" i="4"/>
  <c r="AA13" i="4"/>
  <c r="AI13" i="4"/>
  <c r="AQ13" i="4"/>
  <c r="P14" i="4"/>
  <c r="X14" i="4"/>
  <c r="AF14" i="4"/>
  <c r="AN14" i="4"/>
  <c r="E15" i="4"/>
  <c r="M15" i="4"/>
  <c r="U15" i="4"/>
  <c r="AC15" i="4"/>
  <c r="AK15" i="4"/>
  <c r="L16" i="4"/>
  <c r="U16" i="4"/>
  <c r="AD16" i="4"/>
  <c r="O17" i="4"/>
  <c r="Y17" i="4"/>
  <c r="AI17" i="4"/>
  <c r="AM19" i="4"/>
  <c r="T19" i="4"/>
  <c r="AD19" i="4"/>
  <c r="AQ19" i="4"/>
  <c r="AR20" i="4"/>
  <c r="AJ20" i="4"/>
  <c r="AB20" i="4"/>
  <c r="T20" i="4"/>
  <c r="L20" i="4"/>
  <c r="AP20" i="4"/>
  <c r="AO20" i="4"/>
  <c r="AG20" i="4"/>
  <c r="Y20" i="4"/>
  <c r="Q20" i="4"/>
  <c r="AM20" i="4"/>
  <c r="AE20" i="4"/>
  <c r="W20" i="4"/>
  <c r="O20" i="4"/>
  <c r="V20" i="4"/>
  <c r="AI20" i="4"/>
  <c r="R21" i="4"/>
  <c r="AH21" i="4"/>
  <c r="O22" i="4"/>
  <c r="AE22" i="4"/>
  <c r="L23" i="4"/>
  <c r="AB23" i="4"/>
  <c r="AR23" i="4"/>
  <c r="Z24" i="4"/>
  <c r="AP24" i="4"/>
  <c r="AF29" i="4"/>
  <c r="R31" i="4"/>
  <c r="E28" i="1"/>
  <c r="E30" i="1"/>
  <c r="P9" i="4"/>
  <c r="X9" i="4"/>
  <c r="AF9" i="4"/>
  <c r="R11" i="4"/>
  <c r="Z11" i="4"/>
  <c r="AH11" i="4"/>
  <c r="AP11" i="4"/>
  <c r="Q14" i="4"/>
  <c r="Y14" i="4"/>
  <c r="AG14" i="4"/>
  <c r="AO14" i="4"/>
  <c r="G30" i="1"/>
  <c r="Q9" i="4"/>
  <c r="Y9" i="4"/>
  <c r="AG9" i="4"/>
  <c r="AO9" i="4"/>
  <c r="S11" i="4"/>
  <c r="AA11" i="4"/>
  <c r="AI11" i="4"/>
  <c r="AQ11" i="4"/>
  <c r="P12" i="4"/>
  <c r="X12" i="4"/>
  <c r="AF12" i="4"/>
  <c r="AN12" i="4"/>
  <c r="R14" i="4"/>
  <c r="Z14" i="4"/>
  <c r="AH14" i="4"/>
  <c r="AP14" i="4"/>
  <c r="O15" i="4"/>
  <c r="W15" i="4"/>
  <c r="AE15" i="4"/>
  <c r="N16" i="4"/>
  <c r="W16" i="4"/>
  <c r="AG16" i="4"/>
  <c r="AP16" i="4"/>
  <c r="Q17" i="4"/>
  <c r="AA17" i="4"/>
  <c r="M20" i="4"/>
  <c r="Z20" i="4"/>
  <c r="AL20" i="4"/>
  <c r="U21" i="4"/>
  <c r="R22" i="4"/>
  <c r="O23" i="4"/>
  <c r="O24" i="4"/>
  <c r="AE24" i="4"/>
  <c r="AD25" i="4"/>
  <c r="Q26" i="4"/>
  <c r="AJ26" i="4"/>
  <c r="Q27" i="4"/>
  <c r="AP29" i="4"/>
  <c r="AN29" i="4"/>
  <c r="W30" i="4"/>
  <c r="O30" i="4"/>
  <c r="AC30" i="4"/>
  <c r="Z31" i="4"/>
  <c r="O33" i="4"/>
  <c r="E26" i="1"/>
  <c r="R9" i="4"/>
  <c r="Z9" i="4"/>
  <c r="AH9" i="4"/>
  <c r="AP9" i="4"/>
  <c r="D11" i="4"/>
  <c r="L11" i="4"/>
  <c r="T11" i="4"/>
  <c r="AB11" i="4"/>
  <c r="AJ11" i="4"/>
  <c r="AR11" i="4"/>
  <c r="S14" i="4"/>
  <c r="AA14" i="4"/>
  <c r="AI14" i="4"/>
  <c r="AQ14" i="4"/>
  <c r="P15" i="4"/>
  <c r="X15" i="4"/>
  <c r="AF15" i="4"/>
  <c r="AN15" i="4"/>
  <c r="U22" i="4"/>
  <c r="AK22" i="4"/>
  <c r="AQ29" i="4"/>
  <c r="S9" i="4"/>
  <c r="AA9" i="4"/>
  <c r="AI9" i="4"/>
  <c r="AQ9" i="4"/>
  <c r="E11" i="4"/>
  <c r="M11" i="4"/>
  <c r="U11" i="4"/>
  <c r="AC11" i="4"/>
  <c r="AK11" i="4"/>
  <c r="R12" i="4"/>
  <c r="Z12" i="4"/>
  <c r="AH12" i="4"/>
  <c r="AP12" i="4"/>
  <c r="L14" i="4"/>
  <c r="T14" i="4"/>
  <c r="AB14" i="4"/>
  <c r="AJ14" i="4"/>
  <c r="AR14" i="4"/>
  <c r="Q15" i="4"/>
  <c r="Y15" i="4"/>
  <c r="AG15" i="4"/>
  <c r="Q16" i="4"/>
  <c r="Z16" i="4"/>
  <c r="AI16" i="4"/>
  <c r="AR16" i="4"/>
  <c r="AK17" i="4"/>
  <c r="AC17" i="4"/>
  <c r="U17" i="4"/>
  <c r="M17" i="4"/>
  <c r="AN17" i="4"/>
  <c r="AF17" i="4"/>
  <c r="X17" i="4"/>
  <c r="S17" i="4"/>
  <c r="AD17" i="4"/>
  <c r="AO17" i="4"/>
  <c r="AO21" i="4"/>
  <c r="AG21" i="4"/>
  <c r="Y21" i="4"/>
  <c r="Q21" i="4"/>
  <c r="AM21" i="4"/>
  <c r="AE21" i="4"/>
  <c r="W21" i="4"/>
  <c r="O21" i="4"/>
  <c r="AL21" i="4"/>
  <c r="AD21" i="4"/>
  <c r="V21" i="4"/>
  <c r="N21" i="4"/>
  <c r="AR21" i="4"/>
  <c r="AJ21" i="4"/>
  <c r="AB21" i="4"/>
  <c r="T21" i="4"/>
  <c r="L21" i="4"/>
  <c r="Z21" i="4"/>
  <c r="AP21" i="4"/>
  <c r="W22" i="4"/>
  <c r="T23" i="4"/>
  <c r="AJ23" i="4"/>
  <c r="R24" i="4"/>
  <c r="AH24" i="4"/>
  <c r="T26" i="4"/>
  <c r="AC27" i="4"/>
  <c r="U27" i="4"/>
  <c r="M27" i="4"/>
  <c r="AR27" i="4"/>
  <c r="AJ27" i="4"/>
  <c r="AB27" i="4"/>
  <c r="T27" i="4"/>
  <c r="L27" i="4"/>
  <c r="AQ27" i="4"/>
  <c r="AI27" i="4"/>
  <c r="AA27" i="4"/>
  <c r="S27" i="4"/>
  <c r="X27" i="4"/>
  <c r="P29" i="4"/>
  <c r="W33" i="4"/>
  <c r="T34" i="4"/>
  <c r="L9" i="4"/>
  <c r="T9" i="4"/>
  <c r="AB9" i="4"/>
  <c r="AJ9" i="4"/>
  <c r="AR9" i="4"/>
  <c r="N11" i="4"/>
  <c r="V11" i="4"/>
  <c r="AD11" i="4"/>
  <c r="AL11" i="4"/>
  <c r="S12" i="4"/>
  <c r="AA12" i="4"/>
  <c r="AI12" i="4"/>
  <c r="AQ12" i="4"/>
  <c r="M14" i="4"/>
  <c r="U14" i="4"/>
  <c r="AC14" i="4"/>
  <c r="AQ15" i="4"/>
  <c r="R15" i="4"/>
  <c r="Z15" i="4"/>
  <c r="AH15" i="4"/>
  <c r="AP15" i="4"/>
  <c r="R16" i="4"/>
  <c r="AA16" i="4"/>
  <c r="T17" i="4"/>
  <c r="AE17" i="4"/>
  <c r="AP17" i="4"/>
  <c r="AA21" i="4"/>
  <c r="AQ21" i="4"/>
  <c r="AL22" i="4"/>
  <c r="AD22" i="4"/>
  <c r="V22" i="4"/>
  <c r="N22" i="4"/>
  <c r="AR22" i="4"/>
  <c r="AJ22" i="4"/>
  <c r="AB22" i="4"/>
  <c r="T22" i="4"/>
  <c r="L22" i="4"/>
  <c r="AQ22" i="4"/>
  <c r="AI22" i="4"/>
  <c r="AA22" i="4"/>
  <c r="S22" i="4"/>
  <c r="AO22" i="4"/>
  <c r="AG22" i="4"/>
  <c r="Y22" i="4"/>
  <c r="Q22" i="4"/>
  <c r="X22" i="4"/>
  <c r="AN22" i="4"/>
  <c r="U23" i="4"/>
  <c r="T24" i="4"/>
  <c r="AN26" i="4"/>
  <c r="AF26" i="4"/>
  <c r="X26" i="4"/>
  <c r="P26" i="4"/>
  <c r="AM26" i="4"/>
  <c r="AE26" i="4"/>
  <c r="W26" i="4"/>
  <c r="O26" i="4"/>
  <c r="AL26" i="4"/>
  <c r="AD26" i="4"/>
  <c r="V26" i="4"/>
  <c r="N26" i="4"/>
  <c r="AK26" i="4"/>
  <c r="AC26" i="4"/>
  <c r="U26" i="4"/>
  <c r="M26" i="4"/>
  <c r="Y26" i="4"/>
  <c r="AR26" i="4"/>
  <c r="S29" i="4"/>
  <c r="AR31" i="4"/>
  <c r="AJ31" i="4"/>
  <c r="AB31" i="4"/>
  <c r="T31" i="4"/>
  <c r="L31" i="4"/>
  <c r="AQ31" i="4"/>
  <c r="AI31" i="4"/>
  <c r="AA31" i="4"/>
  <c r="S31" i="4"/>
  <c r="AO31" i="4"/>
  <c r="AG31" i="4"/>
  <c r="Y31" i="4"/>
  <c r="Q31" i="4"/>
  <c r="AN31" i="4"/>
  <c r="AF31" i="4"/>
  <c r="X31" i="4"/>
  <c r="P31" i="4"/>
  <c r="AM31" i="4"/>
  <c r="AE31" i="4"/>
  <c r="W31" i="4"/>
  <c r="O31" i="4"/>
  <c r="AL31" i="4"/>
  <c r="AD31" i="4"/>
  <c r="V31" i="4"/>
  <c r="N31" i="4"/>
  <c r="AK31" i="4"/>
  <c r="AB33" i="4"/>
  <c r="AB34" i="4"/>
  <c r="G29" i="1"/>
  <c r="M9" i="4"/>
  <c r="U9" i="4"/>
  <c r="AC9" i="4"/>
  <c r="AK9" i="4"/>
  <c r="R10" i="4"/>
  <c r="Z10" i="4"/>
  <c r="AH10" i="4"/>
  <c r="AP10" i="4"/>
  <c r="O11" i="4"/>
  <c r="W11" i="4"/>
  <c r="AE11" i="4"/>
  <c r="AM11" i="4"/>
  <c r="L12" i="4"/>
  <c r="T12" i="4"/>
  <c r="AB12" i="4"/>
  <c r="AJ12" i="4"/>
  <c r="AR12" i="4"/>
  <c r="AG13" i="4"/>
  <c r="AO13" i="4"/>
  <c r="N14" i="4"/>
  <c r="V14" i="4"/>
  <c r="AD14" i="4"/>
  <c r="AL14" i="4"/>
  <c r="S15" i="4"/>
  <c r="AA15" i="4"/>
  <c r="AI15" i="4"/>
  <c r="AR15" i="4"/>
  <c r="AN16" i="4"/>
  <c r="AF16" i="4"/>
  <c r="X16" i="4"/>
  <c r="P16" i="4"/>
  <c r="S16" i="4"/>
  <c r="AB16" i="4"/>
  <c r="AK16" i="4"/>
  <c r="L17" i="4"/>
  <c r="V17" i="4"/>
  <c r="AG17" i="4"/>
  <c r="AQ17" i="4"/>
  <c r="AP18" i="4"/>
  <c r="AR19" i="4"/>
  <c r="AJ19" i="4"/>
  <c r="Q19" i="4"/>
  <c r="AB19" i="4"/>
  <c r="AN19" i="4"/>
  <c r="S20" i="4"/>
  <c r="AF20" i="4"/>
  <c r="M21" i="4"/>
  <c r="AC21" i="4"/>
  <c r="Z22" i="4"/>
  <c r="AP22" i="4"/>
  <c r="AQ23" i="4"/>
  <c r="AI23" i="4"/>
  <c r="AA23" i="4"/>
  <c r="S23" i="4"/>
  <c r="AO23" i="4"/>
  <c r="AG23" i="4"/>
  <c r="Y23" i="4"/>
  <c r="Q23" i="4"/>
  <c r="AN23" i="4"/>
  <c r="AF23" i="4"/>
  <c r="X23" i="4"/>
  <c r="P23" i="4"/>
  <c r="AL23" i="4"/>
  <c r="AD23" i="4"/>
  <c r="V23" i="4"/>
  <c r="N23" i="4"/>
  <c r="W23" i="4"/>
  <c r="AM23" i="4"/>
  <c r="W24" i="4"/>
  <c r="T25" i="4"/>
  <c r="AA26" i="4"/>
  <c r="AM27" i="4"/>
  <c r="AD27" i="4"/>
  <c r="X29" i="4"/>
  <c r="M30" i="4"/>
  <c r="AP31" i="4"/>
  <c r="AO32" i="4"/>
  <c r="AG32" i="4"/>
  <c r="Y32" i="4"/>
  <c r="Q32" i="4"/>
  <c r="AN32" i="4"/>
  <c r="AF32" i="4"/>
  <c r="X32" i="4"/>
  <c r="P32" i="4"/>
  <c r="AL32" i="4"/>
  <c r="AD32" i="4"/>
  <c r="V32" i="4"/>
  <c r="N32" i="4"/>
  <c r="AK32" i="4"/>
  <c r="AC32" i="4"/>
  <c r="U32" i="4"/>
  <c r="M32" i="4"/>
  <c r="AR32" i="4"/>
  <c r="AJ32" i="4"/>
  <c r="AB32" i="4"/>
  <c r="T32" i="4"/>
  <c r="L32" i="4"/>
  <c r="AQ32" i="4"/>
  <c r="AI32" i="4"/>
  <c r="AA32" i="4"/>
  <c r="S32" i="4"/>
  <c r="AM32" i="4"/>
  <c r="AE33" i="4"/>
  <c r="N9" i="4"/>
  <c r="V9" i="4"/>
  <c r="AD9" i="4"/>
  <c r="S10" i="4"/>
  <c r="AA10" i="4"/>
  <c r="AI10" i="4"/>
  <c r="P11" i="4"/>
  <c r="X11" i="4"/>
  <c r="AF11" i="4"/>
  <c r="M12" i="4"/>
  <c r="U12" i="4"/>
  <c r="AC12" i="4"/>
  <c r="R13" i="4"/>
  <c r="Z13" i="4"/>
  <c r="AH13" i="4"/>
  <c r="O14" i="4"/>
  <c r="W14" i="4"/>
  <c r="AE14" i="4"/>
  <c r="L15" i="4"/>
  <c r="T15" i="4"/>
  <c r="AB15" i="4"/>
  <c r="AJ15" i="4"/>
  <c r="T16" i="4"/>
  <c r="AC16" i="4"/>
  <c r="AL16" i="4"/>
  <c r="N17" i="4"/>
  <c r="W17" i="4"/>
  <c r="AH17" i="4"/>
  <c r="AR17" i="4"/>
  <c r="S19" i="4"/>
  <c r="AC19" i="4"/>
  <c r="AO19" i="4"/>
  <c r="U20" i="4"/>
  <c r="AH20" i="4"/>
  <c r="P21" i="4"/>
  <c r="AF21" i="4"/>
  <c r="M22" i="4"/>
  <c r="AC22" i="4"/>
  <c r="Z23" i="4"/>
  <c r="AP23" i="4"/>
  <c r="AN24" i="4"/>
  <c r="AF24" i="4"/>
  <c r="X24" i="4"/>
  <c r="P24" i="4"/>
  <c r="AL24" i="4"/>
  <c r="AD24" i="4"/>
  <c r="V24" i="4"/>
  <c r="N24" i="4"/>
  <c r="AK24" i="4"/>
  <c r="AC24" i="4"/>
  <c r="U24" i="4"/>
  <c r="M24" i="4"/>
  <c r="AQ24" i="4"/>
  <c r="AI24" i="4"/>
  <c r="AA24" i="4"/>
  <c r="S24" i="4"/>
  <c r="Y24" i="4"/>
  <c r="AO24" i="4"/>
  <c r="AO25" i="4"/>
  <c r="AG25" i="4"/>
  <c r="Y25" i="4"/>
  <c r="Q25" i="4"/>
  <c r="V25" i="4"/>
  <c r="AR25" i="4"/>
  <c r="AP26" i="4"/>
  <c r="AB26" i="4"/>
  <c r="AF27" i="4"/>
  <c r="P30" i="4"/>
  <c r="M31" i="4"/>
  <c r="AP32" i="4"/>
  <c r="AL33" i="4"/>
  <c r="AN34" i="4"/>
  <c r="AF34" i="4"/>
  <c r="X34" i="4"/>
  <c r="P34" i="4"/>
  <c r="AL34" i="4"/>
  <c r="AD34" i="4"/>
  <c r="V34" i="4"/>
  <c r="N34" i="4"/>
  <c r="AK34" i="4"/>
  <c r="AC34" i="4"/>
  <c r="U34" i="4"/>
  <c r="M34" i="4"/>
  <c r="AR34" i="4"/>
  <c r="R19" i="4"/>
  <c r="Z19" i="4"/>
  <c r="AH19" i="4"/>
  <c r="AP19" i="4"/>
  <c r="P25" i="4"/>
  <c r="X25" i="4"/>
  <c r="AF25" i="4"/>
  <c r="AN25" i="4"/>
  <c r="R27" i="4"/>
  <c r="Z27" i="4"/>
  <c r="AH27" i="4"/>
  <c r="AP27" i="4"/>
  <c r="O28" i="4"/>
  <c r="W28" i="4"/>
  <c r="AE28" i="4"/>
  <c r="AM28" i="4"/>
  <c r="L29" i="4"/>
  <c r="T29" i="4"/>
  <c r="AB29" i="4"/>
  <c r="AJ29" i="4"/>
  <c r="AR29" i="4"/>
  <c r="Q30" i="4"/>
  <c r="Y30" i="4"/>
  <c r="AG30" i="4"/>
  <c r="AO30" i="4"/>
  <c r="P33" i="4"/>
  <c r="X33" i="4"/>
  <c r="AF33" i="4"/>
  <c r="AN33" i="4"/>
  <c r="P28" i="4"/>
  <c r="X28" i="4"/>
  <c r="AF28" i="4"/>
  <c r="AN28" i="4"/>
  <c r="M29" i="4"/>
  <c r="U29" i="4"/>
  <c r="AC29" i="4"/>
  <c r="AK29" i="4"/>
  <c r="R30" i="4"/>
  <c r="Z30" i="4"/>
  <c r="AH30" i="4"/>
  <c r="AP30" i="4"/>
  <c r="Q33" i="4"/>
  <c r="Y33" i="4"/>
  <c r="AG33" i="4"/>
  <c r="AO33" i="4"/>
  <c r="R25" i="4"/>
  <c r="Z25" i="4"/>
  <c r="AH25" i="4"/>
  <c r="AP25" i="4"/>
  <c r="Q28" i="4"/>
  <c r="Y28" i="4"/>
  <c r="AG28" i="4"/>
  <c r="N29" i="4"/>
  <c r="V29" i="4"/>
  <c r="AD29" i="4"/>
  <c r="AL29" i="4"/>
  <c r="S30" i="4"/>
  <c r="AA30" i="4"/>
  <c r="AI30" i="4"/>
  <c r="AQ30" i="4"/>
  <c r="R33" i="4"/>
  <c r="Z33" i="4"/>
  <c r="AH33" i="4"/>
  <c r="AP33" i="4"/>
  <c r="O34" i="4"/>
  <c r="W34" i="4"/>
  <c r="AE34" i="4"/>
  <c r="AM34" i="4"/>
  <c r="S25" i="4"/>
  <c r="AA25" i="4"/>
  <c r="AI25" i="4"/>
  <c r="AQ25" i="4"/>
  <c r="AK27" i="4"/>
  <c r="R28" i="4"/>
  <c r="Z28" i="4"/>
  <c r="AH28" i="4"/>
  <c r="AP28" i="4"/>
  <c r="O29" i="4"/>
  <c r="W29" i="4"/>
  <c r="AE29" i="4"/>
  <c r="AM29" i="4"/>
  <c r="L30" i="4"/>
  <c r="T30" i="4"/>
  <c r="AB30" i="4"/>
  <c r="AJ30" i="4"/>
  <c r="AR30" i="4"/>
  <c r="S33" i="4"/>
  <c r="AA33" i="4"/>
  <c r="AI33" i="4"/>
  <c r="AQ33" i="4"/>
  <c r="Q34" i="4"/>
  <c r="Y34" i="4"/>
  <c r="AG34" i="4"/>
  <c r="AO34" i="4"/>
  <c r="R18" i="4"/>
  <c r="Z18" i="4"/>
  <c r="AH18" i="4"/>
  <c r="O19" i="4"/>
  <c r="W19" i="4"/>
  <c r="AE19" i="4"/>
  <c r="M25" i="4"/>
  <c r="U25" i="4"/>
  <c r="AC25" i="4"/>
  <c r="R26" i="4"/>
  <c r="Z26" i="4"/>
  <c r="AH26" i="4"/>
  <c r="O27" i="4"/>
  <c r="W27" i="4"/>
  <c r="AE27" i="4"/>
  <c r="L28" i="4"/>
  <c r="T28" i="4"/>
  <c r="AB28" i="4"/>
  <c r="AJ28" i="4"/>
  <c r="Q29" i="4"/>
  <c r="Y29" i="4"/>
  <c r="AG29" i="4"/>
  <c r="AO29" i="4"/>
  <c r="N30" i="4"/>
  <c r="V30" i="4"/>
  <c r="AD30" i="4"/>
  <c r="AL30" i="4"/>
  <c r="M33" i="4"/>
  <c r="U33" i="4"/>
  <c r="AC33" i="4"/>
  <c r="AK33" i="4"/>
  <c r="R34" i="4"/>
  <c r="Z34" i="4"/>
  <c r="AH34" i="4"/>
  <c r="AP34" i="4"/>
  <c r="R29" i="4"/>
  <c r="Z29" i="4"/>
  <c r="AH29" i="4"/>
  <c r="AE30" i="4"/>
  <c r="N33" i="4"/>
  <c r="V33" i="4"/>
  <c r="AD33" i="4"/>
  <c r="S34" i="4"/>
  <c r="AA34" i="4"/>
  <c r="AI34" i="4"/>
</calcChain>
</file>

<file path=xl/sharedStrings.xml><?xml version="1.0" encoding="utf-8"?>
<sst xmlns="http://schemas.openxmlformats.org/spreadsheetml/2006/main" count="374" uniqueCount="189">
  <si>
    <t>Sơ đồ phối hợp</t>
  </si>
  <si>
    <t>Kế hoạch triển khai</t>
  </si>
  <si>
    <t>Lịch triển khai</t>
  </si>
  <si>
    <t>Mỗi hàng là một đơn vị, mỗi cột là một giai đoạn, số bước trùng với sheet Kế hoạch triển khai. Việc hai bên cùng làm nằm ở hàng phòng ban Nam Á Bank phụ trách, kèm nhãn “Cùng Xperise”; ô viền nét đứt ở hàng Xperise là phần Xperise phối hợp.</t>
  </si>
  <si>
    <t>Danh mục công việc theo trình tự thực hiện. Thứ tự, đơn vị phụ trách và thời hạn có thể điều chỉnh trực tiếp. Hạng mục đánh dấu sao sẽ hiển thị như mốc quan trọng trên lịch tại mục Tổng quan.</t>
  </si>
  <si>
    <t>Biểu đồ thời gian theo ngày, lấy dữ liệu trực tiếp từ sheet Kế hoạch triển khai. Thanh màu nhạt là mốc “Sau ngày”, thanh kéo dài đến cuối lịch là mốc “Từ ngày trở đi”. Cột viền cam là ngày Go-live.</t>
  </si>
  <si>
    <r>
      <rPr>
        <b/>
        <sz val="9"/>
        <color rgb="FFB041FF"/>
        <rFont val="Arial"/>
      </rPr>
      <t xml:space="preserve">■ </t>
    </r>
    <r>
      <rPr>
        <sz val="9"/>
        <color rgb="FF6B7280"/>
        <rFont val="Arial"/>
      </rPr>
      <t xml:space="preserve">Nam Á Bank     </t>
    </r>
    <r>
      <rPr>
        <b/>
        <sz val="9"/>
        <color rgb="FF0078A0"/>
        <rFont val="Arial"/>
      </rPr>
      <t xml:space="preserve">■ </t>
    </r>
    <r>
      <rPr>
        <sz val="9"/>
        <color rgb="FF6B7280"/>
        <rFont val="Arial"/>
      </rPr>
      <t xml:space="preserve">Hai bên     </t>
    </r>
    <r>
      <rPr>
        <b/>
        <sz val="9"/>
        <color rgb="FF00A693"/>
        <rFont val="Arial"/>
      </rPr>
      <t xml:space="preserve">■ </t>
    </r>
    <r>
      <rPr>
        <sz val="9"/>
        <color rgb="FF6B7280"/>
        <rFont val="Arial"/>
      </rPr>
      <t xml:space="preserve">Xperise     </t>
    </r>
    <r>
      <rPr>
        <b/>
        <sz val="9"/>
        <color rgb="FFB041FF"/>
        <rFont val="Arial"/>
      </rPr>
      <t xml:space="preserve">★ </t>
    </r>
    <r>
      <rPr>
        <sz val="9"/>
        <color rgb="FF6B7280"/>
        <rFont val="Arial"/>
      </rPr>
      <t xml:space="preserve">Mốc quan trọng     </t>
    </r>
    <r>
      <rPr>
        <b/>
        <sz val="9"/>
        <color rgb="FF006B5E"/>
        <rFont val="Arial"/>
      </rPr>
      <t xml:space="preserve">↔ </t>
    </r>
    <r>
      <rPr>
        <sz val="9"/>
        <color rgb="FF6B7280"/>
        <rFont val="Arial"/>
      </rPr>
      <t>Xperise phối hợp cùng phòng ban Nam Á Bank</t>
    </r>
  </si>
  <si>
    <t>Đơn vị phụ trách</t>
  </si>
  <si>
    <t>GIAI ĐOẠN THIẾT LẬP HỆ THỐNG</t>
  </si>
  <si>
    <r>
      <rPr>
        <b/>
        <sz val="9"/>
        <color rgb="FFE9DDF7"/>
        <rFont val="Arial"/>
      </rPr>
      <t xml:space="preserve">GIAI ĐOẠN 1
</t>
    </r>
    <r>
      <rPr>
        <b/>
        <sz val="12"/>
        <color rgb="FFFFFFFF"/>
        <rFont val="Arial"/>
      </rPr>
      <t xml:space="preserve">Chuẩn bị
</t>
    </r>
    <r>
      <rPr>
        <sz val="9"/>
        <color rgb="FFF1F1F1"/>
        <rFont val="Arial"/>
      </rPr>
      <t>16/09</t>
    </r>
  </si>
  <si>
    <t>Go-live mục tiêu</t>
  </si>
  <si>
    <r>
      <rPr>
        <b/>
        <sz val="9"/>
        <color rgb="FFE9DDF7"/>
        <rFont val="Arial"/>
      </rPr>
      <t xml:space="preserve">GIAI ĐOẠN 2
</t>
    </r>
    <r>
      <rPr>
        <b/>
        <sz val="12"/>
        <color rgb="FFFFFFFF"/>
        <rFont val="Arial"/>
      </rPr>
      <t xml:space="preserve">Tiến hành
</t>
    </r>
    <r>
      <rPr>
        <sz val="9"/>
        <color rgb="FFF1F1F1"/>
        <rFont val="Arial"/>
      </rPr>
      <t>16/09 → 23/09</t>
    </r>
  </si>
  <si>
    <t>Ô nền vàng nhạt: chỉnh trực tiếp. Cột Bước, Đơn vị phụ trách, Thời gian và Quá hạn tự tính. Kiểu thời gian “Từ ngày trở đi” và “Sau ngày” để trống cột Kết thúc.</t>
  </si>
  <si>
    <r>
      <rPr>
        <b/>
        <sz val="9"/>
        <color rgb="FFD5F0EC"/>
        <rFont val="Arial"/>
      </rPr>
      <t xml:space="preserve">GIAI ĐOẠN 3
</t>
    </r>
    <r>
      <rPr>
        <b/>
        <sz val="12"/>
        <color rgb="FFFFFFFF"/>
        <rFont val="Arial"/>
      </rPr>
      <t xml:space="preserve">Demo &amp; thống nhất
</t>
    </r>
    <r>
      <rPr>
        <sz val="9"/>
        <color rgb="FFF1F1F1"/>
        <rFont val="Arial"/>
      </rPr>
      <t>22/09 → 23/09</t>
    </r>
  </si>
  <si>
    <t>Lộ trình triển khai đến ngày vận hành chính thức</t>
  </si>
  <si>
    <t>Bước</t>
  </si>
  <si>
    <t>Ngày vận hành</t>
  </si>
  <si>
    <r>
      <rPr>
        <b/>
        <sz val="9"/>
        <color rgb="FFD5F0EC"/>
        <rFont val="Arial"/>
      </rPr>
      <t xml:space="preserve">GIAI ĐOẠN 4
</t>
    </r>
    <r>
      <rPr>
        <b/>
        <sz val="12"/>
        <color rgb="FFFFFFFF"/>
        <rFont val="Arial"/>
      </rPr>
      <t xml:space="preserve">Ký kết &amp; đào tạo
</t>
    </r>
    <r>
      <rPr>
        <sz val="9"/>
        <color rgb="FFF1F1F1"/>
        <rFont val="Arial"/>
      </rPr>
      <t>24/09 → 25/09</t>
    </r>
  </si>
  <si>
    <t>Go-live:</t>
  </si>
  <si>
    <r>
      <rPr>
        <b/>
        <sz val="9"/>
        <color rgb="FFD5F0EC"/>
        <rFont val="Arial"/>
      </rPr>
      <t xml:space="preserve">GIAI ĐOẠN 5
</t>
    </r>
    <r>
      <rPr>
        <b/>
        <sz val="12"/>
        <color rgb="FFFFFFFF"/>
        <rFont val="Arial"/>
      </rPr>
      <t xml:space="preserve">Go-live &amp; hỗ trợ
</t>
    </r>
    <r>
      <rPr>
        <sz val="9"/>
        <color rgb="FFF1F1F1"/>
        <rFont val="Arial"/>
      </rPr>
      <t>Từ 28/09 trở đi</t>
    </r>
  </si>
  <si>
    <t>Giai đoạn</t>
  </si>
  <si>
    <t>Tháng 9/2026</t>
  </si>
  <si>
    <t>Công việc</t>
  </si>
  <si>
    <r>
      <rPr>
        <sz val="8"/>
        <color rgb="FF6B7280"/>
        <rFont val="Arial"/>
      </rPr>
      <t xml:space="preserve">Nam Á Bank
</t>
    </r>
    <r>
      <rPr>
        <b/>
        <sz val="13"/>
        <color rgb="FF7A1FBF"/>
        <rFont val="Arial"/>
      </rPr>
      <t xml:space="preserve">Hành chính
</t>
    </r>
    <r>
      <rPr>
        <sz val="8"/>
        <color rgb="FF6B7280"/>
        <rFont val="Arial"/>
      </rPr>
      <t>2 việc</t>
    </r>
  </si>
  <si>
    <t>Bên thực hiện</t>
  </si>
  <si>
    <t>Phòng ban</t>
  </si>
  <si>
    <t>Mốc</t>
  </si>
  <si>
    <t>Kiểu thời gian</t>
  </si>
  <si>
    <t>Bắt đầu</t>
  </si>
  <si>
    <t>Kết thúc</t>
  </si>
  <si>
    <t>Thời gian</t>
  </si>
  <si>
    <t>Trạng thái</t>
  </si>
  <si>
    <t>Người phụ trách</t>
  </si>
  <si>
    <t>Ghi chú</t>
  </si>
  <si>
    <t>Quá hạn</t>
  </si>
  <si>
    <t>Tháng 10/2026</t>
  </si>
  <si>
    <t>Chuẩn bị</t>
  </si>
  <si>
    <t>Họp khởi động: thống nhất phạm vi và chính sách</t>
  </si>
  <si>
    <r>
      <rPr>
        <b/>
        <sz val="9"/>
        <color rgb="FF7A1FBF"/>
        <rFont val="Arial"/>
      </rPr>
      <t>Bước 13</t>
    </r>
    <r>
      <rPr>
        <sz val="9"/>
        <color rgb="FF6B7280"/>
        <rFont val="Arial"/>
      </rPr>
      <t xml:space="preserve">   Sau 28/09
</t>
    </r>
    <r>
      <rPr>
        <sz val="10"/>
        <color rgb="FF142814"/>
        <rFont val="Arial"/>
      </rPr>
      <t>Cung cấp danh sách cơ sở lưu trú thường sử dụng và hợp đồng giá</t>
    </r>
  </si>
  <si>
    <t>Hai bên</t>
  </si>
  <si>
    <t>Hành chính</t>
  </si>
  <si>
    <t>T2</t>
  </si>
  <si>
    <t>T3</t>
  </si>
  <si>
    <t>T4</t>
  </si>
  <si>
    <t>T5</t>
  </si>
  <si>
    <t>T6</t>
  </si>
  <si>
    <t>T7</t>
  </si>
  <si>
    <t>CN</t>
  </si>
  <si>
    <r>
      <rPr>
        <b/>
        <sz val="9"/>
        <color rgb="FF7A1FBF"/>
        <rFont val="Arial"/>
      </rPr>
      <t>Bước 15</t>
    </r>
    <r>
      <rPr>
        <sz val="9"/>
        <color rgb="FF6B7280"/>
        <rFont val="Arial"/>
      </rPr>
      <t xml:space="preserve">   Sau 28/09
</t>
    </r>
    <r>
      <rPr>
        <sz val="10"/>
        <color rgb="FF142814"/>
        <rFont val="Arial"/>
      </rPr>
      <t>Phát hành thư giới thiệu Xperise tới các cơ sở lưu trú</t>
    </r>
  </si>
  <si>
    <r>
      <rPr>
        <sz val="8"/>
        <color rgb="FF6B7280"/>
        <rFont val="Arial"/>
      </rPr>
      <t xml:space="preserve">Nam Á Bank
</t>
    </r>
    <r>
      <rPr>
        <b/>
        <sz val="13"/>
        <color rgb="FF7A1FBF"/>
        <rFont val="Arial"/>
      </rPr>
      <t xml:space="preserve">Nhân sự
</t>
    </r>
    <r>
      <rPr>
        <sz val="8"/>
        <color rgb="FF6B7280"/>
        <rFont val="Arial"/>
      </rPr>
      <t>2 việc</t>
    </r>
  </si>
  <si>
    <t>TIẾN ĐỘ</t>
  </si>
  <si>
    <t>QUÁ HẠN</t>
  </si>
  <si>
    <t>CHỜ NAM Á BANK XỬ LÝ</t>
  </si>
  <si>
    <t>★</t>
  </si>
  <si>
    <t>Khoảng ngày</t>
  </si>
  <si>
    <r>
      <rPr>
        <b/>
        <sz val="9"/>
        <color rgb="FF7A1FBF"/>
        <rFont val="Arial"/>
      </rPr>
      <t>Bước 3</t>
    </r>
    <r>
      <rPr>
        <sz val="9"/>
        <color rgb="FF6B7280"/>
        <rFont val="Arial"/>
      </rPr>
      <t xml:space="preserve">   16/09 → 18/09</t>
    </r>
    <r>
      <rPr>
        <b/>
        <sz val="10"/>
        <color rgb="FFB041FF"/>
        <rFont val="Arial"/>
      </rPr>
      <t xml:space="preserve">   ★
</t>
    </r>
    <r>
      <rPr>
        <sz val="10"/>
        <color rgb="FF142814"/>
        <rFont val="Arial"/>
      </rPr>
      <t>Cung cấp dữ liệu khởi tạo: chính sách công tác và phạm vi người dùng</t>
    </r>
  </si>
  <si>
    <r>
      <rPr>
        <b/>
        <sz val="9"/>
        <color rgb="FF7A1FBF"/>
        <rFont val="Arial"/>
      </rPr>
      <t>Bước 10</t>
    </r>
    <r>
      <rPr>
        <sz val="9"/>
        <color rgb="FF6B7280"/>
        <rFont val="Arial"/>
      </rPr>
      <t xml:space="preserve">   24/09 → 25/09</t>
    </r>
    <r>
      <rPr>
        <b/>
        <sz val="10"/>
        <color rgb="FFB041FF"/>
        <rFont val="Arial"/>
      </rPr>
      <t xml:space="preserve">   ★
</t>
    </r>
    <r>
      <rPr>
        <sz val="10"/>
        <color rgb="FF142814"/>
        <rFont val="Arial"/>
      </rPr>
      <t xml:space="preserve">Truyền thông và đào tạo người dùng
</t>
    </r>
    <r>
      <rPr>
        <b/>
        <sz val="8"/>
        <color rgb="FF006B5E"/>
        <rFont val="Arial"/>
      </rPr>
      <t>↔ Cùng Xperise</t>
    </r>
  </si>
  <si>
    <r>
      <rPr>
        <sz val="8"/>
        <color rgb="FF6B7280"/>
        <rFont val="Arial"/>
      </rPr>
      <t xml:space="preserve">Nam Á Bank
</t>
    </r>
    <r>
      <rPr>
        <b/>
        <sz val="13"/>
        <color rgb="FF7A1FBF"/>
        <rFont val="Arial"/>
      </rPr>
      <t xml:space="preserve">Kế toán
</t>
    </r>
    <r>
      <rPr>
        <sz val="8"/>
        <color rgb="FF6B7280"/>
        <rFont val="Arial"/>
      </rPr>
      <t>2 việc</t>
    </r>
  </si>
  <si>
    <r>
      <rPr>
        <b/>
        <sz val="9"/>
        <color rgb="FF7A1FBF"/>
        <rFont val="Arial"/>
      </rPr>
      <t>Bước 8</t>
    </r>
    <r>
      <rPr>
        <sz val="9"/>
        <color rgb="FF6B7280"/>
        <rFont val="Arial"/>
      </rPr>
      <t xml:space="preserve">   22/09 → 23/09
</t>
    </r>
    <r>
      <rPr>
        <sz val="10"/>
        <color rgb="FF142814"/>
        <rFont val="Arial"/>
      </rPr>
      <t xml:space="preserve">Thống nhất biểu mẫu bảng kê và quy trình xuất hoá đơn
</t>
    </r>
    <r>
      <rPr>
        <b/>
        <sz val="8"/>
        <color rgb="FF006B5E"/>
        <rFont val="Arial"/>
      </rPr>
      <t>↔ Cùng Xperise</t>
    </r>
  </si>
  <si>
    <r>
      <rPr>
        <b/>
        <sz val="9"/>
        <color rgb="FF7A1FBF"/>
        <rFont val="Arial"/>
      </rPr>
      <t>Bước 14</t>
    </r>
    <r>
      <rPr>
        <sz val="9"/>
        <color rgb="FF6B7280"/>
        <rFont val="Arial"/>
      </rPr>
      <t xml:space="preserve">   01/10 → 04/10
</t>
    </r>
    <r>
      <rPr>
        <sz val="10"/>
        <color rgb="FF142814"/>
        <rFont val="Arial"/>
      </rPr>
      <t xml:space="preserve">Thực hiện đối soát kỳ đầu tiên
</t>
    </r>
    <r>
      <rPr>
        <b/>
        <sz val="8"/>
        <color rgb="FF006B5E"/>
        <rFont val="Arial"/>
      </rPr>
      <t>↔ Cùng Xperise</t>
    </r>
  </si>
  <si>
    <r>
      <rPr>
        <sz val="8"/>
        <color rgb="FF6B7280"/>
        <rFont val="Arial"/>
      </rPr>
      <t xml:space="preserve">Nam Á Bank
</t>
    </r>
    <r>
      <rPr>
        <b/>
        <sz val="13"/>
        <color rgb="FF7A1FBF"/>
        <rFont val="Arial"/>
      </rPr>
      <t xml:space="preserve">Pháp chế
</t>
    </r>
    <r>
      <rPr>
        <sz val="8"/>
        <color rgb="FF6B7280"/>
        <rFont val="Arial"/>
      </rPr>
      <t>2 việc</t>
    </r>
  </si>
  <si>
    <r>
      <rPr>
        <b/>
        <sz val="9"/>
        <color rgb="FF7A1FBF"/>
        <rFont val="Arial"/>
      </rPr>
      <t>Bước 4</t>
    </r>
    <r>
      <rPr>
        <sz val="9"/>
        <color rgb="FF6B7280"/>
        <rFont val="Arial"/>
      </rPr>
      <t xml:space="preserve">   16/09 → 23/09
</t>
    </r>
    <r>
      <rPr>
        <sz val="10"/>
        <color rgb="FF142814"/>
        <rFont val="Arial"/>
      </rPr>
      <t xml:space="preserve">Rà soát Hợp đồng hợp tác bản cuối
</t>
    </r>
    <r>
      <rPr>
        <b/>
        <sz val="8"/>
        <color rgb="FF006B5E"/>
        <rFont val="Arial"/>
      </rPr>
      <t>↔ Cùng Xperise</t>
    </r>
  </si>
  <si>
    <r>
      <rPr>
        <b/>
        <sz val="9"/>
        <color rgb="FF7A1FBF"/>
        <rFont val="Arial"/>
      </rPr>
      <t>Bước 9</t>
    </r>
    <r>
      <rPr>
        <sz val="9"/>
        <color rgb="FF6B7280"/>
        <rFont val="Arial"/>
      </rPr>
      <t xml:space="preserve">   24/09 → 25/09</t>
    </r>
    <r>
      <rPr>
        <b/>
        <sz val="10"/>
        <color rgb="FFB041FF"/>
        <rFont val="Arial"/>
      </rPr>
      <t xml:space="preserve">   ★
</t>
    </r>
    <r>
      <rPr>
        <sz val="10"/>
        <color rgb="FF142814"/>
        <rFont val="Arial"/>
      </rPr>
      <t xml:space="preserve">Ký kết hợp đồng và thống nhất ngày vận hành chính thức
</t>
    </r>
    <r>
      <rPr>
        <b/>
        <sz val="8"/>
        <color rgb="FF006B5E"/>
        <rFont val="Arial"/>
      </rPr>
      <t>↔ Cùng Xperise</t>
    </r>
  </si>
  <si>
    <r>
      <rPr>
        <sz val="8"/>
        <color rgb="FF6B7280"/>
        <rFont val="Arial"/>
      </rPr>
      <t xml:space="preserve">Xperise và Nam Á Bank
</t>
    </r>
    <r>
      <rPr>
        <b/>
        <sz val="13"/>
        <color rgb="FF0078A0"/>
        <rFont val="Arial"/>
      </rPr>
      <t xml:space="preserve">Hai bên
</t>
    </r>
    <r>
      <rPr>
        <sz val="8"/>
        <color rgb="FF6B7280"/>
        <rFont val="Arial"/>
      </rPr>
      <t>3 việc</t>
    </r>
  </si>
  <si>
    <r>
      <rPr>
        <b/>
        <sz val="9"/>
        <color rgb="FF0078A0"/>
        <rFont val="Arial"/>
      </rPr>
      <t>Bước 1</t>
    </r>
    <r>
      <rPr>
        <sz val="9"/>
        <color rgb="FF6B7280"/>
        <rFont val="Arial"/>
      </rPr>
      <t xml:space="preserve">   16/09</t>
    </r>
    <r>
      <rPr>
        <b/>
        <sz val="10"/>
        <color rgb="FFB041FF"/>
        <rFont val="Arial"/>
      </rPr>
      <t xml:space="preserve">   ★
</t>
    </r>
    <r>
      <rPr>
        <sz val="10"/>
        <color rgb="FF142814"/>
        <rFont val="Arial"/>
      </rPr>
      <t>Họp khởi động: thống nhất phạm vi và chính sách</t>
    </r>
  </si>
  <si>
    <t>Hoàn thành</t>
  </si>
  <si>
    <r>
      <rPr>
        <b/>
        <sz val="9"/>
        <color rgb="FF0078A0"/>
        <rFont val="Arial"/>
      </rPr>
      <t>Bước 7</t>
    </r>
    <r>
      <rPr>
        <sz val="9"/>
        <color rgb="FF6B7280"/>
        <rFont val="Arial"/>
      </rPr>
      <t xml:space="preserve">   22/09 → 23/09</t>
    </r>
    <r>
      <rPr>
        <b/>
        <sz val="10"/>
        <color rgb="FFB041FF"/>
        <rFont val="Arial"/>
      </rPr>
      <t xml:space="preserve">   ★
</t>
    </r>
    <r>
      <rPr>
        <sz val="10"/>
        <color rgb="FF142814"/>
        <rFont val="Arial"/>
      </rPr>
      <t>Trình diễn hệ thống và chạy thử tình huống nghiệp vụ</t>
    </r>
  </si>
  <si>
    <r>
      <rPr>
        <b/>
        <sz val="9"/>
        <color rgb="FF0078A0"/>
        <rFont val="Arial"/>
      </rPr>
      <t>Bước 11</t>
    </r>
    <r>
      <rPr>
        <sz val="9"/>
        <color rgb="FF6B7280"/>
        <rFont val="Arial"/>
      </rPr>
      <t xml:space="preserve">   28/09</t>
    </r>
    <r>
      <rPr>
        <b/>
        <sz val="10"/>
        <color rgb="FFB041FF"/>
        <rFont val="Arial"/>
      </rPr>
      <t xml:space="preserve">   ★
</t>
    </r>
    <r>
      <rPr>
        <sz val="10"/>
        <color rgb="FF142814"/>
        <rFont val="Arial"/>
      </rPr>
      <t>Đưa hệ thống vào vận hành chính thức</t>
    </r>
  </si>
  <si>
    <r>
      <rPr>
        <sz val="8"/>
        <color rgb="FF6B7280"/>
        <rFont val="Arial"/>
      </rPr>
      <t xml:space="preserve">Đơn vị triển khai
</t>
    </r>
    <r>
      <rPr>
        <b/>
        <sz val="13"/>
        <color rgb="FF006B5E"/>
        <rFont val="Arial"/>
      </rPr>
      <t xml:space="preserve">Xperise
</t>
    </r>
    <r>
      <rPr>
        <sz val="8"/>
        <color rgb="FF6B7280"/>
        <rFont val="Arial"/>
      </rPr>
      <t>5 việc, phối hợp 5 việc</t>
    </r>
  </si>
  <si>
    <t>Hình thức: họp trực tiếp</t>
  </si>
  <si>
    <r>
      <rPr>
        <b/>
        <sz val="9"/>
        <color rgb="FF006B5E"/>
        <rFont val="Arial"/>
      </rPr>
      <t>Bước 2</t>
    </r>
    <r>
      <rPr>
        <sz val="9"/>
        <color rgb="FF6B7280"/>
        <rFont val="Arial"/>
      </rPr>
      <t xml:space="preserve">   17/09
</t>
    </r>
    <r>
      <rPr>
        <sz val="10"/>
        <color rgb="FF142814"/>
        <rFont val="Arial"/>
      </rPr>
      <t>Gửi biên bản kết luận sau buổi họp</t>
    </r>
  </si>
  <si>
    <t>Tiến hành</t>
  </si>
  <si>
    <t>Gửi biên bản kết luận sau buổi họp</t>
  </si>
  <si>
    <t>Xperise</t>
  </si>
  <si>
    <t>Nhân sự</t>
  </si>
  <si>
    <r>
      <rPr>
        <b/>
        <sz val="9"/>
        <color rgb="FF006B5E"/>
        <rFont val="Arial"/>
      </rPr>
      <t xml:space="preserve">↔ Bước 8 · Phối hợp cùng Kế toán
</t>
    </r>
    <r>
      <rPr>
        <i/>
        <sz val="9"/>
        <color rgb="FF6B7280"/>
        <rFont val="Arial"/>
      </rPr>
      <t>Thống nhất biểu mẫu bảng kê và quy trình xuất hoá đơn</t>
    </r>
  </si>
  <si>
    <t>Mới bổ sung</t>
  </si>
  <si>
    <t>hạng mục cần xử lý ngay</t>
  </si>
  <si>
    <t>hạng mục Nam Á Bank thực hiện, chưa hoàn thành</t>
  </si>
  <si>
    <t>Cung cấp dữ liệu khởi tạo: chính sách công tác và phạm vi người dùng</t>
  </si>
  <si>
    <t>Nam Á Bank</t>
  </si>
  <si>
    <t>Đang làm</t>
  </si>
  <si>
    <r>
      <rPr>
        <b/>
        <sz val="9"/>
        <color rgb="FF006B5E"/>
        <rFont val="Arial"/>
      </rPr>
      <t xml:space="preserve">↔ Bước 9 · Phối hợp cùng Pháp chế
</t>
    </r>
    <r>
      <rPr>
        <i/>
        <sz val="9"/>
        <color rgb="FF6B7280"/>
        <rFont val="Arial"/>
      </rPr>
      <t>Ký kết hợp đồng và thống nhất ngày vận hành chính thức</t>
    </r>
  </si>
  <si>
    <t>Kê khai theo biểu mẫu khởi tạo</t>
  </si>
  <si>
    <r>
      <rPr>
        <b/>
        <sz val="9"/>
        <color rgb="FF006B5E"/>
        <rFont val="Arial"/>
      </rPr>
      <t>Bước 12</t>
    </r>
    <r>
      <rPr>
        <sz val="9"/>
        <color rgb="FF6B7280"/>
        <rFont val="Arial"/>
      </rPr>
      <t xml:space="preserve">   Từ 28/09 trở đi
</t>
    </r>
    <r>
      <rPr>
        <sz val="10"/>
        <color rgb="FF142814"/>
        <rFont val="Arial"/>
      </rPr>
      <t>Hỗ trợ sau triển khai</t>
    </r>
  </si>
  <si>
    <t>Rà soát Hợp đồng hợp tác bản cuối</t>
  </si>
  <si>
    <t>Pháp chế</t>
  </si>
  <si>
    <t>Thực hiện song song với công tác khởi tạo</t>
  </si>
  <si>
    <t>Xperise tiếp nhận và rà soát dữ liệu khởi tạo</t>
  </si>
  <si>
    <t>Xperise khởi tạo và cấu hình hệ thống</t>
  </si>
  <si>
    <r>
      <rPr>
        <b/>
        <sz val="9"/>
        <color rgb="FF006B5E"/>
        <rFont val="Arial"/>
      </rPr>
      <t xml:space="preserve">↔ Bước 4 · Phối hợp cùng Pháp chế
</t>
    </r>
    <r>
      <rPr>
        <i/>
        <sz val="9"/>
        <color rgb="FF6B7280"/>
        <rFont val="Arial"/>
      </rPr>
      <t>Rà soát Hợp đồng hợp tác bản cuối</t>
    </r>
  </si>
  <si>
    <t>Tiến độ theo giai đoạn</t>
  </si>
  <si>
    <t>Chưa bắt đầu</t>
  </si>
  <si>
    <r>
      <rPr>
        <b/>
        <sz val="9"/>
        <color rgb="FF006B5E"/>
        <rFont val="Arial"/>
      </rPr>
      <t xml:space="preserve">↔ Bước 10 · Phối hợp cùng Nhân sự
</t>
    </r>
    <r>
      <rPr>
        <i/>
        <sz val="9"/>
        <color rgb="FF6B7280"/>
        <rFont val="Arial"/>
      </rPr>
      <t>Truyền thông và đào tạo người dùng</t>
    </r>
  </si>
  <si>
    <r>
      <rPr>
        <b/>
        <sz val="9"/>
        <color rgb="FF006B5E"/>
        <rFont val="Arial"/>
      </rPr>
      <t xml:space="preserve">↔ Bước 14 · Phối hợp cùng Kế toán
</t>
    </r>
    <r>
      <rPr>
        <i/>
        <sz val="9"/>
        <color rgb="FF6B7280"/>
        <rFont val="Arial"/>
      </rPr>
      <t>Thực hiện đối soát kỳ đầu tiên</t>
    </r>
  </si>
  <si>
    <r>
      <rPr>
        <b/>
        <sz val="9"/>
        <color rgb="FF006B5E"/>
        <rFont val="Arial"/>
      </rPr>
      <t>Bước 5</t>
    </r>
    <r>
      <rPr>
        <sz val="9"/>
        <color rgb="FF6B7280"/>
        <rFont val="Arial"/>
      </rPr>
      <t xml:space="preserve">   18/09
</t>
    </r>
    <r>
      <rPr>
        <sz val="10"/>
        <color rgb="FF142814"/>
        <rFont val="Arial"/>
      </rPr>
      <t>Xperise tiếp nhận và rà soát dữ liệu khởi tạo</t>
    </r>
  </si>
  <si>
    <t>Hạng mục chờ xử lý</t>
  </si>
  <si>
    <t>Số hạng mục</t>
  </si>
  <si>
    <t>Đơn vị chịu trách nhiệm</t>
  </si>
  <si>
    <t>Chưa hoàn thành</t>
  </si>
  <si>
    <r>
      <rPr>
        <b/>
        <sz val="9"/>
        <color rgb="FF006B5E"/>
        <rFont val="Arial"/>
      </rPr>
      <t>Bước 16</t>
    </r>
    <r>
      <rPr>
        <sz val="9"/>
        <color rgb="FF6B7280"/>
        <rFont val="Arial"/>
      </rPr>
      <t xml:space="preserve">   28/09
</t>
    </r>
    <r>
      <rPr>
        <sz val="10"/>
        <color rgb="FF142814"/>
        <rFont val="Arial"/>
      </rPr>
      <t>Cập nhật giá thoả thuận của cơ sở lưu trú lên hệ thống</t>
    </r>
  </si>
  <si>
    <t>16/09</t>
  </si>
  <si>
    <t>Hoàn thành trong 48 giờ kể từ khi tiếp nhận dữ liệu</t>
  </si>
  <si>
    <t>Demo &amp; thống nhất</t>
  </si>
  <si>
    <t>Trình diễn hệ thống và chạy thử tình huống nghiệp vụ</t>
  </si>
  <si>
    <r>
      <rPr>
        <b/>
        <sz val="9"/>
        <color rgb="FF006B5E"/>
        <rFont val="Arial"/>
      </rPr>
      <t>Bước 6</t>
    </r>
    <r>
      <rPr>
        <sz val="9"/>
        <color rgb="FF6B7280"/>
        <rFont val="Arial"/>
      </rPr>
      <t xml:space="preserve">   19/09 → 21/09</t>
    </r>
    <r>
      <rPr>
        <b/>
        <sz val="10"/>
        <color rgb="FFB041FF"/>
        <rFont val="Arial"/>
      </rPr>
      <t xml:space="preserve">   ★
</t>
    </r>
    <r>
      <rPr>
        <sz val="10"/>
        <color rgb="FF142814"/>
        <rFont val="Arial"/>
      </rPr>
      <t>Xperise khởi tạo và cấu hình hệ thống</t>
    </r>
  </si>
  <si>
    <t>Phần việc của từng đơn vị</t>
  </si>
  <si>
    <t>Sắp theo trình tự thực hiện. Trạng thái cập nhật tại sheet Kế hoạch triển khai.</t>
  </si>
  <si>
    <t>Thống nhất biểu mẫu bảng kê và quy trình xuất hoá đơn</t>
  </si>
  <si>
    <t>Đơn vị</t>
  </si>
  <si>
    <t>Kế toán</t>
  </si>
  <si>
    <t>Phối hợp</t>
  </si>
  <si>
    <t>Nam Á Bank – Hành chính</t>
  </si>
  <si>
    <t>Ký kết &amp; đào tạo</t>
  </si>
  <si>
    <t>Ký kết hợp đồng và thống nhất ngày vận hành chính thức</t>
  </si>
  <si>
    <t>Ban lãnh đạo</t>
  </si>
  <si>
    <t>Bước 13</t>
  </si>
  <si>
    <t>Sau 28/09</t>
  </si>
  <si>
    <t>Cung cấp danh sách cơ sở lưu trú thường sử dụng và hợp đồng giá</t>
  </si>
  <si>
    <t>Truyền thông và đào tạo người dùng</t>
  </si>
  <si>
    <t>—</t>
  </si>
  <si>
    <t>Bước 15</t>
  </si>
  <si>
    <t>Phát hành thư giới thiệu Xperise tới các cơ sở lưu trú</t>
  </si>
  <si>
    <t>Nam Á Bank – Nhân sự</t>
  </si>
  <si>
    <t>Thực hiện song song với công tác ký kết</t>
  </si>
  <si>
    <t>Bước 3  ★</t>
  </si>
  <si>
    <t>16/09 → 18/09</t>
  </si>
  <si>
    <t>Bước 10  ★</t>
  </si>
  <si>
    <t>24/09 → 25/09</t>
  </si>
  <si>
    <t>Go-live &amp; hỗ trợ</t>
  </si>
  <si>
    <t>Đưa hệ thống vào vận hành chính thức</t>
  </si>
  <si>
    <t>16/09 → 23/09</t>
  </si>
  <si>
    <t>Cùng Xperise</t>
  </si>
  <si>
    <t>Nam Á Bank – Kế toán</t>
  </si>
  <si>
    <t>Bước 8</t>
  </si>
  <si>
    <t>22/09 → 23/09</t>
  </si>
  <si>
    <t>Bước 14</t>
  </si>
  <si>
    <t>01/10 → 04/10</t>
  </si>
  <si>
    <t>Thực hiện đối soát kỳ đầu tiên</t>
  </si>
  <si>
    <t>Nam Á Bank – Pháp chế</t>
  </si>
  <si>
    <t>Hỗ trợ sau triển khai</t>
  </si>
  <si>
    <t>Bước 4</t>
  </si>
  <si>
    <t>Bước 9  ★</t>
  </si>
  <si>
    <t>Từ ngày trở đi</t>
  </si>
  <si>
    <t>Họp rà soát định kỳ vào sáng Thứ Năm hàng tuần</t>
  </si>
  <si>
    <t>Bước 1  ★</t>
  </si>
  <si>
    <t>Xperise và Nam Á Bank</t>
  </si>
  <si>
    <t>Sau ngày</t>
  </si>
  <si>
    <t>Bước 7  ★</t>
  </si>
  <si>
    <t>Bước 11  ★</t>
  </si>
  <si>
    <t>28/09</t>
  </si>
  <si>
    <t>Bước 2</t>
  </si>
  <si>
    <t>Mới bổ sung. Áp dụng cho kỳ 2 tháng 9</t>
  </si>
  <si>
    <t>17/09</t>
  </si>
  <si>
    <t>Cùng Nam Á Bank – Pháp chế</t>
  </si>
  <si>
    <t>Bước 5</t>
  </si>
  <si>
    <t>18/09</t>
  </si>
  <si>
    <t>Bước 6  ★</t>
  </si>
  <si>
    <t>19/09 → 21/09</t>
  </si>
  <si>
    <t>Mới bổ sung. Điều kiện để cơ sở lưu trú áp dụng giá thoả thuận</t>
  </si>
  <si>
    <t>Cùng Nam Á Bank – Kế toán</t>
  </si>
  <si>
    <t>Cập nhật giá thoả thuận của cơ sở lưu trú lên hệ thống</t>
  </si>
  <si>
    <t>Cùng Nam Á Bank – Nhân sự</t>
  </si>
  <si>
    <t>Bước 12</t>
  </si>
  <si>
    <t>Từ 28/09 trở đi</t>
  </si>
  <si>
    <t>Bước 16</t>
  </si>
  <si>
    <t>Các dòng trống phía dưới dùng để bổ sung hạng mục mới. Cột Bước đánh số theo thứ tự dòng, muốn đổi trình tự thì di chuyển cả dòng. Dùng bộ lọc ở cột Đơn vị phụ trách để xem riêng phần việc của từng phòng ban.</t>
  </si>
  <si>
    <t>Việc hai bên cùng làm có ghi phòng ban được tính vào phòng ban đó.</t>
  </si>
  <si>
    <t>Mốc quan trọng</t>
  </si>
  <si>
    <t>Đang tiến hành</t>
  </si>
  <si>
    <t>Cách sử dụng file</t>
  </si>
  <si>
    <t>Danh mục công việc, cập nhật trạng thái, ngày và người phụ trách. Các số liệu ở trang này tự tính theo sheet này.</t>
  </si>
  <si>
    <t>Sơ đồ từng đơn vị theo từng giai đoạn, kèm danh sách phần việc của từng phòng ban.</t>
  </si>
  <si>
    <t>Biểu đồ thời gian theo ngày, tự vẽ lại khi đổi ngày trong Kế hoạch triển khai.</t>
  </si>
  <si>
    <t>Dữ liệu &amp; chính sách</t>
  </si>
  <si>
    <t>Nhóm dữ liệu cần cung cấp, định mức lưu trú, vé máy bay, luồng phê duyệt và các lựa chọn cấu hình.</t>
  </si>
  <si>
    <t>Quy trình hoá đơn</t>
  </si>
  <si>
    <t>Nguyên tắc xuất hoá đơn và cách ghi nhận giao dịch giữa hai kỳ.</t>
  </si>
  <si>
    <t>Đối soát &amp; thanh toán</t>
  </si>
  <si>
    <t>Lịch chốt kỳ, yêu cầu riêng đối với bảng kê và hạn mức công nợ.</t>
  </si>
  <si>
    <t>Cơ sở lưu trú &amp; giá</t>
  </si>
  <si>
    <t>Thư giới thiệu và danh sách cơ sở lưu trú.</t>
  </si>
  <si>
    <t>Tài liệu</t>
  </si>
  <si>
    <t>Trạng thái tài liệu hai bên và giải đáp nghiệp vụ.</t>
  </si>
  <si>
    <t>Nội dung thống nhất</t>
  </si>
  <si>
    <t>Bốn nội dung cần thống nhất và nội dung ghi nhận tại buổi làm việc.</t>
  </si>
  <si>
    <t>Ô nền vàng nhạt: Nam Á Bank điền hoặc chọn trực tiếp.</t>
  </si>
  <si>
    <r>
      <rPr>
        <b/>
        <sz val="9"/>
        <color rgb="FFB041FF"/>
        <rFont val="Arial"/>
      </rPr>
      <t xml:space="preserve">■ </t>
    </r>
    <r>
      <rPr>
        <sz val="9"/>
        <color rgb="FF6B7280"/>
        <rFont val="Arial"/>
      </rPr>
      <t xml:space="preserve">Nam Á Bank    </t>
    </r>
    <r>
      <rPr>
        <b/>
        <sz val="9"/>
        <color rgb="FF0078A0"/>
        <rFont val="Arial"/>
      </rPr>
      <t xml:space="preserve">■ </t>
    </r>
    <r>
      <rPr>
        <sz val="9"/>
        <color rgb="FF6B7280"/>
        <rFont val="Arial"/>
      </rPr>
      <t xml:space="preserve">Hai bên    </t>
    </r>
    <r>
      <rPr>
        <b/>
        <sz val="9"/>
        <color rgb="FF00A693"/>
        <rFont val="Arial"/>
      </rPr>
      <t xml:space="preserve">■ </t>
    </r>
    <r>
      <rPr>
        <sz val="9"/>
        <color rgb="FF6B7280"/>
        <rFont val="Arial"/>
      </rPr>
      <t xml:space="preserve">Xperise    </t>
    </r>
    <r>
      <rPr>
        <b/>
        <sz val="9"/>
        <color rgb="FF9FC9C2"/>
        <rFont val="Arial"/>
      </rPr>
      <t xml:space="preserve">■ </t>
    </r>
    <r>
      <rPr>
        <sz val="9"/>
        <color rgb="FF6B7280"/>
        <rFont val="Arial"/>
      </rPr>
      <t xml:space="preserve">Hoàn thành    </t>
    </r>
    <r>
      <rPr>
        <b/>
        <sz val="9"/>
        <color rgb="FFB26B00"/>
        <rFont val="Arial"/>
      </rPr>
      <t xml:space="preserve">▌ </t>
    </r>
    <r>
      <rPr>
        <sz val="9"/>
        <color rgb="FF6B7280"/>
        <rFont val="Arial"/>
      </rPr>
      <t xml:space="preserve">Ngày Go-live    </t>
    </r>
    <r>
      <rPr>
        <b/>
        <sz val="9"/>
        <color rgb="FFC2401F"/>
        <rFont val="Arial"/>
      </rPr>
      <t xml:space="preserve">■ </t>
    </r>
    <r>
      <rPr>
        <sz val="9"/>
        <color rgb="FF6B7280"/>
        <rFont val="Arial"/>
      </rPr>
      <t xml:space="preserve">Hôm nay (hàng ngày)    </t>
    </r>
    <r>
      <rPr>
        <b/>
        <sz val="9"/>
        <color rgb="FFB041FF"/>
        <rFont val="Arial"/>
      </rPr>
      <t xml:space="preserve">★ </t>
    </r>
    <r>
      <rPr>
        <sz val="9"/>
        <color rgb="FF6B7280"/>
        <rFont val="Arial"/>
      </rPr>
      <t>Mốc quan trọng (tại ngày kết thúc)</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</si>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</sst>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
    <numFmt numFmtId="165" formatCode="mm/dd/yy"/>
  </numFmts>
  <fonts count="56">
    <font>
      <sz val="11"/>
      <color theme="1"/>
      <name val="Calibri"/>
      <scheme val="minor"/>
    </font>
    <font>
      <b/>
      <sz val="20"/>
      <color rgb="FF142814"/>
      <name val="Arial"/>
    </font>
    <font>
      <sz val="10"/>
      <color rgb="FF6B7280"/>
      <name val="Arial"/>
    </font>
    <font>
      <sz val="16"/>
      <color rgb="FF9AA1AC"/>
      <name val="Arial"/>
    </font>
    <font>
      <sz val="11"/>
      <color theme="1"/>
      <name val="Calibri"/>
    </font>
    <font>
      <b/>
      <sz val="9"/>
      <color rgb="FFB041FF"/>
      <name val="Arial"/>
    </font>
    <font>
      <b/>
      <sz val="9"/>
      <color rgb="FF6B7280"/>
      <name val="Arial"/>
    </font>
    <font>
      <b/>
      <sz val="9"/>
      <color rgb="FF7A1FBF"/>
      <name val="Arial"/>
    </font>
    <font>
      <b/>
      <sz val="9"/>
      <color rgb="FFE9DDF7"/>
      <name val="Arial"/>
    </font>
    <font>
      <b/>
      <sz val="9"/>
      <color rgb="FFC9D1C9"/>
      <name val="Arial"/>
    </font>
    <font>
      <i/>
      <sz val="9"/>
      <color rgb="FF6B7280"/>
      <name val="Arial"/>
    </font>
    <font>
      <b/>
      <sz val="16"/>
      <color rgb="FF142814"/>
      <name val="Arial"/>
    </font>
    <font>
      <b/>
      <sz val="9"/>
      <color rgb="FFD5F0EC"/>
      <name val="Arial"/>
    </font>
    <font>
      <b/>
      <sz val="10"/>
      <color rgb="FFFFFFFF"/>
      <name val="Arial"/>
    </font>
    <font>
      <sz val="10"/>
      <color rgb="FFFFFFFF"/>
      <name val="Arial"/>
    </font>
    <font>
      <b/>
      <sz val="10"/>
      <color rgb="FFB26B00"/>
      <name val="Arial"/>
    </font>
    <font>
      <sz val="11"/>
      <name val="Calibri"/>
    </font>
    <font>
      <b/>
      <sz val="10"/>
      <color rgb="FF142814"/>
      <name val="Arial"/>
    </font>
    <font>
      <sz val="8"/>
      <color rgb="FF6B7280"/>
      <name val="Arial"/>
    </font>
    <font>
      <b/>
      <sz val="8"/>
      <color rgb="FF142814"/>
      <name val="Arial"/>
    </font>
    <font>
      <sz val="11"/>
      <color rgb="FF6B7280"/>
      <name val="Arial"/>
    </font>
    <font>
      <sz val="10"/>
      <color rgb="FF142814"/>
      <name val="Arial"/>
    </font>
    <font>
      <b/>
      <sz val="10"/>
      <color rgb="FFB8ECE5"/>
      <name val="Arial"/>
    </font>
    <font>
      <sz val="7"/>
      <color rgb="FFFFFFFF"/>
      <name val="Arial"/>
    </font>
    <font>
      <sz val="9"/>
      <color rgb="FF6B7280"/>
      <name val="Arial"/>
    </font>
    <font>
      <b/>
      <sz val="9"/>
      <color rgb="FF142814"/>
      <name val="Arial"/>
    </font>
    <font>
      <b/>
      <sz val="12"/>
      <color rgb="FFB041FF"/>
      <name val="Arial"/>
    </font>
    <font>
      <sz val="9"/>
      <color rgb="FF142814"/>
      <name val="Arial"/>
    </font>
    <font>
      <b/>
      <sz val="24"/>
      <color rgb="FF7A1FBF"/>
      <name val="Arial"/>
    </font>
    <font>
      <sz val="11"/>
      <color theme="1"/>
      <name val="Calibri"/>
      <scheme val="minor"/>
    </font>
    <font>
      <b/>
      <sz val="24"/>
      <color rgb="FFC2401F"/>
      <name val="Arial"/>
    </font>
    <font>
      <b/>
      <sz val="9"/>
      <color rgb="FF0078A0"/>
      <name val="Arial"/>
    </font>
    <font>
      <b/>
      <sz val="24"/>
      <color rgb="FF142814"/>
      <name val="Arial"/>
    </font>
    <font>
      <b/>
      <sz val="24"/>
      <color rgb="FFB26B00"/>
      <name val="Arial"/>
    </font>
    <font>
      <b/>
      <sz val="9"/>
      <color rgb="FFC2401F"/>
      <name val="Arial"/>
    </font>
    <font>
      <b/>
      <sz val="9"/>
      <color rgb="FF006B5E"/>
      <name val="Arial"/>
    </font>
    <font>
      <b/>
      <sz val="8"/>
      <color rgb="FFFFFFFF"/>
      <name val="Arial"/>
    </font>
    <font>
      <b/>
      <sz val="13"/>
      <color theme="1"/>
      <name val="Arial"/>
    </font>
    <font>
      <b/>
      <sz val="13"/>
      <color rgb="FF142814"/>
      <name val="Arial"/>
    </font>
    <font>
      <b/>
      <sz val="10"/>
      <color rgb="FF7A1FBF"/>
      <name val="Arial"/>
    </font>
    <font>
      <sz val="9"/>
      <color rgb="FF9AA1AC"/>
      <name val="Arial"/>
    </font>
    <font>
      <b/>
      <sz val="10"/>
      <color rgb="FFC2401F"/>
      <name val="Arial"/>
    </font>
    <font>
      <b/>
      <sz val="10"/>
      <color rgb="FF0078A0"/>
      <name val="Arial"/>
    </font>
    <font>
      <b/>
      <sz val="10"/>
      <color rgb="FF006B5E"/>
      <name val="Arial"/>
    </font>
    <font>
      <i/>
      <sz val="8"/>
      <color rgb="FF9AA1AC"/>
      <name val="Arial"/>
    </font>
    <font>
      <b/>
      <u/>
      <sz val="10"/>
      <color rgb="FF7A1FBF"/>
      <name val="Arial"/>
    </font>
    <font>
      <b/>
      <sz val="9"/>
      <color rgb="FF00A693"/>
      <name val="Arial"/>
    </font>
    <font>
      <b/>
      <sz val="12"/>
      <color rgb="FFFFFFFF"/>
      <name val="Arial"/>
    </font>
    <font>
      <sz val="9"/>
      <color rgb="FFF1F1F1"/>
      <name val="Arial"/>
    </font>
    <font>
      <b/>
      <sz val="13"/>
      <color rgb="FF7A1FBF"/>
      <name val="Arial"/>
    </font>
    <font>
      <b/>
      <sz val="10"/>
      <color rgb="FFB041FF"/>
      <name val="Arial"/>
    </font>
    <font>
      <b/>
      <sz val="8"/>
      <color rgb="FF006B5E"/>
      <name val="Arial"/>
    </font>
    <font>
      <b/>
      <sz val="13"/>
      <color rgb="FF0078A0"/>
      <name val="Arial"/>
    </font>
    <font>
      <b/>
      <sz val="13"/>
      <color rgb="FF006B5E"/>
      <name val="Arial"/>
    </font>
    <font>
      <b/>
      <sz val="9"/>
      <color rgb="FF9FC9C2"/>
      <name val="Arial"/>
    </font>
    <font>
      <b/>
      <sz val="9"/>
      <color rgb="FFB26B00"/>
      <name val="Arial"/>
    </font>
  </fonts>
  <fills count="37">
    <fill>
      <patternFill patternType="none"/>
    </fill>
    <fill>
      <patternFill patternType="gray125"/>
    </fill>
    <fill>
      <patternFill patternType="solid">
        <fgColor rgb="FFAF41FF"/>
        <bgColor rgb="FFAF41FF"/>
      </patternFill>
    </fill>
    <fill>
      <patternFill patternType="solid">
        <fgColor rgb="FFA447F8"/>
        <bgColor rgb="FFA447F8"/>
      </patternFill>
    </fill>
    <fill>
      <patternFill patternType="solid">
        <fgColor rgb="FF9351EE"/>
        <bgColor rgb="FF9351EE"/>
      </patternFill>
    </fill>
    <fill>
      <patternFill patternType="solid">
        <fgColor rgb="FF8C55E9"/>
        <bgColor rgb="FF8C55E9"/>
      </patternFill>
    </fill>
    <fill>
      <patternFill patternType="solid">
        <fgColor rgb="FF7E5DE1"/>
        <bgColor rgb="FF7E5DE1"/>
      </patternFill>
    </fill>
    <fill>
      <patternFill patternType="solid">
        <fgColor rgb="FF9E4BF4"/>
        <bgColor rgb="FF9E4BF4"/>
      </patternFill>
    </fill>
    <fill>
      <patternFill patternType="solid">
        <fgColor rgb="FF8857E7"/>
        <bgColor rgb="FF8857E7"/>
      </patternFill>
    </fill>
    <fill>
      <patternFill patternType="solid">
        <fgColor rgb="FF7662DC"/>
        <bgColor rgb="FF7662DC"/>
      </patternFill>
    </fill>
    <fill>
      <patternFill patternType="solid">
        <fgColor rgb="FF7065D8"/>
        <bgColor rgb="FF7065D8"/>
      </patternFill>
    </fill>
    <fill>
      <patternFill patternType="solid">
        <fgColor rgb="FF606FCE"/>
        <bgColor rgb="FF606FCE"/>
      </patternFill>
    </fill>
    <fill>
      <patternFill patternType="solid">
        <fgColor rgb="FF676AD2"/>
        <bgColor rgb="FF676AD2"/>
      </patternFill>
    </fill>
    <fill>
      <patternFill patternType="solid">
        <fgColor rgb="FF467DBE"/>
        <bgColor rgb="FF467DBE"/>
      </patternFill>
    </fill>
    <fill>
      <patternFill patternType="solid">
        <fgColor rgb="FF2391A9"/>
        <bgColor rgb="FF2391A9"/>
      </patternFill>
    </fill>
    <fill>
      <patternFill patternType="solid">
        <fgColor rgb="FF00A594"/>
        <bgColor rgb="FF00A594"/>
      </patternFill>
    </fill>
    <fill>
      <patternFill patternType="solid">
        <fgColor rgb="FF5575C8"/>
        <bgColor rgb="FF5575C8"/>
      </patternFill>
    </fill>
    <fill>
      <patternFill patternType="solid">
        <fgColor rgb="FF4C7AC2"/>
        <bgColor rgb="FF4C7AC2"/>
      </patternFill>
    </fill>
    <fill>
      <patternFill patternType="solid">
        <fgColor rgb="FF3289B2"/>
        <bgColor rgb="FF3289B2"/>
      </patternFill>
    </fill>
    <fill>
      <patternFill patternType="solid">
        <fgColor rgb="FF1E95A6"/>
        <bgColor rgb="FF1E95A6"/>
      </patternFill>
    </fill>
    <fill>
      <patternFill patternType="solid">
        <fgColor rgb="FF3E82B9"/>
        <bgColor rgb="FF3E82B9"/>
      </patternFill>
    </fill>
    <fill>
      <patternFill patternType="solid">
        <fgColor rgb="FFF7F7F2"/>
        <bgColor rgb="FFF7F7F2"/>
      </patternFill>
    </fill>
    <fill>
      <patternFill patternType="solid">
        <fgColor rgb="FF0B9E9B"/>
        <bgColor rgb="FF0B9E9B"/>
      </patternFill>
    </fill>
    <fill>
      <patternFill patternType="solid">
        <fgColor rgb="FF3985B6"/>
        <bgColor rgb="FF3985B6"/>
      </patternFill>
    </fill>
    <fill>
      <patternFill patternType="solid">
        <fgColor rgb="FF7820BE"/>
        <bgColor rgb="FF7820BE"/>
      </patternFill>
    </fill>
    <fill>
      <patternFill patternType="solid">
        <fgColor rgb="FF142814"/>
        <bgColor rgb="FF142814"/>
      </patternFill>
    </fill>
    <fill>
      <patternFill patternType="solid">
        <fgColor rgb="FFFFFBEA"/>
        <bgColor rgb="FFFFFBEA"/>
      </patternFill>
    </fill>
    <fill>
      <patternFill patternType="solid">
        <fgColor rgb="FF2B8DAE"/>
        <bgColor rgb="FF2B8DAE"/>
      </patternFill>
    </fill>
    <fill>
      <patternFill patternType="solid">
        <fgColor rgb="FF1599A1"/>
        <bgColor rgb="FF1599A1"/>
      </patternFill>
    </fill>
    <fill>
      <patternFill patternType="solid">
        <fgColor rgb="FF286295"/>
        <bgColor rgb="FF286295"/>
      </patternFill>
    </fill>
    <fill>
      <patternFill patternType="solid">
        <fgColor rgb="FF006B5E"/>
        <bgColor rgb="FF006B5E"/>
      </patternFill>
    </fill>
    <fill>
      <patternFill patternType="solid">
        <fgColor rgb="FFF4E9FF"/>
        <bgColor rgb="FFF4E9FF"/>
      </patternFill>
    </fill>
    <fill>
      <patternFill patternType="solid">
        <fgColor rgb="FFFFFFFF"/>
        <bgColor rgb="FFFFFFFF"/>
      </patternFill>
    </fill>
    <fill>
      <patternFill patternType="solid">
        <fgColor rgb="FFE3F2F8"/>
        <bgColor rgb="FFE3F2F8"/>
      </patternFill>
    </fill>
    <fill>
      <patternFill patternType="solid">
        <fgColor rgb="FFF5FAFC"/>
        <bgColor rgb="FFF5FAFC"/>
      </patternFill>
    </fill>
    <fill>
      <patternFill patternType="solid">
        <fgColor rgb="FFE3F6F3"/>
        <bgColor rgb="FFE3F6F3"/>
      </patternFill>
    </fill>
    <fill>
      <patternFill patternType="solid">
        <fgColor rgb="FFF4FBFA"/>
        <bgColor rgb="FFF4FBFA"/>
      </patternFill>
    </fill>
  </fills>
  <borders count="40">
    <border>
      <left/>
      <right/>
      <top/>
      <bottom/>
      <diagonal/>
    </border>
    <border>
      <left/>
      <right/>
      <top/>
      <bottom/>
      <diagonal/>
    </border>
    <border>
      <left style="thin">
        <color rgb="FFFFFFFF"/>
      </left>
      <right style="thin">
        <color rgb="FFFFFFFF"/>
      </right>
      <top/>
      <bottom/>
      <diagonal/>
    </border>
    <border>
      <left style="thin">
        <color rgb="FFE5E7EB"/>
      </left>
      <right style="thin">
        <color rgb="FFE5E7EB"/>
      </right>
      <top style="thin">
        <color rgb="FFE5E7EB"/>
      </top>
      <bottom style="thin">
        <color rgb="FFE5E7EB"/>
      </bottom>
      <diagonal/>
    </border>
    <border>
      <left style="thin">
        <color rgb="FF3A4316"/>
      </left>
      <right style="thin">
        <color rgb="FF3A4316"/>
      </right>
      <top/>
      <bottom/>
      <diagonal/>
    </border>
    <border>
      <left/>
      <right/>
      <top/>
      <bottom/>
      <diagonal/>
    </border>
    <border>
      <left/>
      <right/>
      <top/>
      <bottom/>
      <diagonal/>
    </border>
    <border>
      <left style="thin">
        <color rgb="FFE5E7EB"/>
      </left>
      <right/>
      <top/>
      <bottom style="medium">
        <color rgb="FFAF41FF"/>
      </bottom>
      <diagonal/>
    </border>
    <border>
      <left/>
      <right/>
      <top/>
      <bottom style="medium">
        <color rgb="FFAF41FF"/>
      </bottom>
      <diagonal/>
    </border>
    <border>
      <left style="thick">
        <color rgb="FFAF41FF"/>
      </left>
      <right style="thin">
        <color rgb="FFE5E7EB"/>
      </right>
      <top style="thin">
        <color rgb="FFE5E7EB"/>
      </top>
      <bottom/>
      <diagonal/>
    </border>
    <border>
      <left style="hair">
        <color rgb="FFE5E7EB"/>
      </left>
      <right/>
      <top style="thin">
        <color rgb="FFE5E7EB"/>
      </top>
      <bottom/>
      <diagonal/>
    </border>
    <border>
      <left style="thick">
        <color rgb="FFAF41FF"/>
      </left>
      <right style="thin">
        <color rgb="FFE5E7EB"/>
      </right>
      <top style="thin">
        <color rgb="FFE5E7EB"/>
      </top>
      <bottom style="thin">
        <color rgb="FFE5E7EB"/>
      </bottom>
      <diagonal/>
    </border>
    <border>
      <left style="thick">
        <color rgb="FFAF41FF"/>
      </left>
      <right style="thin">
        <color rgb="FFE5E7EB"/>
      </right>
      <top/>
      <bottom style="thin">
        <color rgb="FFE5E7EB"/>
      </bottom>
      <diagonal/>
    </border>
    <border>
      <left/>
      <right/>
      <top/>
      <bottom/>
      <diagonal/>
    </border>
    <border>
      <left style="hair">
        <color rgb="FFE5E7EB"/>
      </left>
      <right/>
      <top/>
      <bottom style="thin">
        <color rgb="FFE5E7EB"/>
      </bottom>
      <diagonal/>
    </border>
    <border>
      <left/>
      <right/>
      <top style="medium">
        <color rgb="FFAF41FF"/>
      </top>
      <bottom/>
      <diagonal/>
    </border>
    <border>
      <left/>
      <right/>
      <top/>
      <bottom style="thin">
        <color rgb="FFE5E7EB"/>
      </bottom>
      <diagonal/>
    </border>
    <border>
      <left style="hair">
        <color rgb="FFE5E7EB"/>
      </left>
      <right/>
      <top style="thin">
        <color rgb="FFE5E7EB"/>
      </top>
      <bottom style="thin">
        <color rgb="FFE5E7EB"/>
      </bottom>
      <diagonal/>
    </border>
    <border>
      <left/>
      <right style="thin">
        <color rgb="FFE5E7EB"/>
      </right>
      <top/>
      <bottom style="thin">
        <color rgb="FFE5E7EB"/>
      </bottom>
      <diagonal/>
    </border>
    <border>
      <left style="thick">
        <color rgb="FF0078A0"/>
      </left>
      <right style="thin">
        <color rgb="FFE5E7EB"/>
      </right>
      <top style="medium">
        <color rgb="FF142814"/>
      </top>
      <bottom style="thin">
        <color rgb="FFE5E7EB"/>
      </bottom>
      <diagonal/>
    </border>
    <border>
      <left style="hair">
        <color rgb="FFE5E7EB"/>
      </left>
      <right/>
      <top style="medium">
        <color rgb="FF142814"/>
      </top>
      <bottom style="thin">
        <color rgb="FFE5E7EB"/>
      </bottom>
      <diagonal/>
    </border>
    <border>
      <left style="thick">
        <color rgb="FF00A594"/>
      </left>
      <right style="thin">
        <color rgb="FFE5E7EB"/>
      </right>
      <top style="medium">
        <color rgb="FF142814"/>
      </top>
      <bottom/>
      <diagonal/>
    </border>
    <border>
      <left style="hair">
        <color rgb="FFE5E7EB"/>
      </left>
      <right/>
      <top style="medium">
        <color rgb="FF142814"/>
      </top>
      <bottom/>
      <diagonal/>
    </border>
    <border>
      <left style="thick">
        <color rgb="FF00A594"/>
      </left>
      <right style="thin">
        <color rgb="FFE5E7EB"/>
      </right>
      <top style="medium">
        <color rgb="FF142814"/>
      </top>
      <bottom style="thin">
        <color rgb="FFE5E7EB"/>
      </bottom>
      <diagonal/>
    </border>
    <border>
      <left style="hair">
        <color rgb="FFE5E7EB"/>
      </left>
      <right/>
      <top/>
      <bottom style="hair">
        <color rgb="FFE5E7EB"/>
      </bottom>
      <diagonal/>
    </border>
    <border>
      <left style="dotted">
        <color rgb="FF00A594"/>
      </left>
      <right style="dotted">
        <color rgb="FF00A594"/>
      </right>
      <top style="dotted">
        <color rgb="FF00A594"/>
      </top>
      <bottom style="dotted">
        <color rgb="FF00A594"/>
      </bottom>
      <diagonal/>
    </border>
    <border>
      <left style="thick">
        <color rgb="FF00A594"/>
      </left>
      <right style="thin">
        <color rgb="FFE5E7EB"/>
      </right>
      <top/>
      <bottom/>
      <diagonal/>
    </border>
    <border>
      <left style="hair">
        <color rgb="FFE5E7EB"/>
      </left>
      <right/>
      <top/>
      <bottom/>
      <diagonal/>
    </border>
    <border>
      <left style="thick">
        <color rgb="FF00A594"/>
      </left>
      <right style="thin">
        <color rgb="FFE5E7EB"/>
      </right>
      <top style="thin">
        <color rgb="FFE5E7EB"/>
      </top>
      <bottom style="thin">
        <color rgb="FFE5E7EB"/>
      </bottom>
      <diagonal/>
    </border>
    <border>
      <left style="thick">
        <color rgb="FF00A594"/>
      </left>
      <right style="thin">
        <color rgb="FFE5E7EB"/>
      </right>
      <top/>
      <bottom style="thin">
        <color rgb="FFE5E7EB"/>
      </bottom>
      <diagonal/>
    </border>
    <border>
      <left style="thin">
        <color rgb="FF3A4316"/>
      </left>
      <right/>
      <top/>
      <bottom/>
      <diagonal/>
    </border>
    <border>
      <left/>
      <right style="thin">
        <color rgb="FF3A4316"/>
      </right>
      <top/>
      <bottom/>
      <diagonal/>
    </border>
    <border>
      <left style="thin">
        <color rgb="FFE5E7EB"/>
      </left>
      <right/>
      <top style="thin">
        <color rgb="FFE5E7EB"/>
      </top>
      <bottom style="thin">
        <color rgb="FFE5E7EB"/>
      </bottom>
      <diagonal/>
    </border>
    <border>
      <left/>
      <right style="thin">
        <color rgb="FFE5E7EB"/>
      </right>
      <top style="thin">
        <color rgb="FFE5E7EB"/>
      </top>
      <bottom style="thin">
        <color rgb="FFE5E7EB"/>
      </bottom>
      <diagonal/>
    </border>
    <border>
      <left style="thick">
        <color rgb="FF0078A0"/>
      </left>
      <right style="thin">
        <color rgb="FFE5E7EB"/>
      </right>
      <top style="thin">
        <color rgb="FFE5E7EB"/>
      </top>
      <bottom/>
      <diagonal/>
    </border>
    <border>
      <left style="thick">
        <color rgb="FF0078A0"/>
      </left>
      <right style="thin">
        <color rgb="FFE5E7EB"/>
      </right>
      <top/>
      <bottom/>
      <diagonal/>
    </border>
    <border>
      <left style="thick">
        <color rgb="FF0078A0"/>
      </left>
      <right style="thin">
        <color rgb="FFE5E7EB"/>
      </right>
      <top/>
      <bottom style="thin">
        <color rgb="FFE5E7EB"/>
      </bottom>
      <diagonal/>
    </border>
    <border>
      <left style="thick">
        <color rgb="FF00A594"/>
      </left>
      <right style="thin">
        <color rgb="FFE5E7EB"/>
      </right>
      <top style="thin">
        <color rgb="FFE5E7EB"/>
      </top>
      <bottom/>
      <diagonal/>
    </border>
    <border>
      <left style="thick">
        <color rgb="FF9AA1AC"/>
      </left>
      <right/>
      <top/>
      <bottom/>
      <diagonal/>
    </border>
    <border>
      <left/>
      <right/>
      <top style="thin">
        <color rgb="FFE5E7EB"/>
      </top>
      <bottom style="thin">
        <color rgb="FFE5E7EB"/>
      </bottom>
      <diagonal/>
    </border>
  </borders>
  <cellStyleXfs count="1">
    <xf numFmtId="0" fontId="0" fillId="0" borderId="0"/>
  </cellStyleXfs>
  <cellXfs count="136">
    <xf numFmtId="0" fontId="0" fillId="0" borderId="0" xfId="0" applyFont="1" applyAlignment="1"/>
    <xf numFmtId="0" fontId="1" fillId="0" borderId="0" xfId="0" applyFont="1"/>
    <xf numFmtId="0" fontId="3" fillId="0" borderId="0" xfId="0" applyFont="1" applyAlignment="1">
      <alignment horizontal="right" vertical="center"/>
    </xf>
    <xf numFmtId="0" fontId="4" fillId="2"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12" borderId="1" xfId="0" applyFont="1" applyFill="1" applyBorder="1"/>
    <xf numFmtId="0" fontId="4" fillId="13" borderId="1" xfId="0" applyFont="1" applyFill="1" applyBorder="1"/>
    <xf numFmtId="0" fontId="4" fillId="14" borderId="1" xfId="0" applyFont="1" applyFill="1" applyBorder="1"/>
    <xf numFmtId="0" fontId="4" fillId="15" borderId="1" xfId="0" applyFont="1" applyFill="1" applyBorder="1"/>
    <xf numFmtId="0" fontId="4" fillId="16" borderId="1" xfId="0" applyFont="1" applyFill="1" applyBorder="1"/>
    <xf numFmtId="0" fontId="4" fillId="17" borderId="1" xfId="0" applyFont="1" applyFill="1" applyBorder="1"/>
    <xf numFmtId="0" fontId="4" fillId="18" borderId="1" xfId="0" applyFont="1" applyFill="1" applyBorder="1"/>
    <xf numFmtId="0" fontId="4" fillId="19" borderId="1" xfId="0" applyFont="1" applyFill="1" applyBorder="1"/>
    <xf numFmtId="0" fontId="4" fillId="20" borderId="1" xfId="0" applyFont="1" applyFill="1" applyBorder="1"/>
    <xf numFmtId="0" fontId="6" fillId="21" borderId="1" xfId="0" applyFont="1" applyFill="1" applyBorder="1" applyAlignment="1">
      <alignment wrapText="1"/>
    </xf>
    <xf numFmtId="0" fontId="7" fillId="0" borderId="0" xfId="0" applyFont="1"/>
    <xf numFmtId="0" fontId="4" fillId="22" borderId="1" xfId="0" applyFont="1" applyFill="1" applyBorder="1"/>
    <xf numFmtId="0" fontId="4" fillId="23" borderId="1" xfId="0" applyFont="1" applyFill="1" applyBorder="1"/>
    <xf numFmtId="0" fontId="8" fillId="24" borderId="2" xfId="0" applyFont="1" applyFill="1" applyBorder="1" applyAlignment="1">
      <alignment vertical="center" wrapText="1"/>
    </xf>
    <xf numFmtId="0" fontId="9" fillId="25" borderId="1" xfId="0" applyFont="1" applyFill="1" applyBorder="1"/>
    <xf numFmtId="0" fontId="4" fillId="26" borderId="3" xfId="0" applyFont="1" applyFill="1" applyBorder="1"/>
    <xf numFmtId="0" fontId="4" fillId="27" borderId="1" xfId="0" applyFont="1" applyFill="1" applyBorder="1"/>
    <xf numFmtId="0" fontId="8" fillId="6" borderId="2" xfId="0" applyFont="1" applyFill="1" applyBorder="1" applyAlignment="1">
      <alignment vertical="center" wrapText="1"/>
    </xf>
    <xf numFmtId="0" fontId="4" fillId="25" borderId="1" xfId="0" applyFont="1" applyFill="1" applyBorder="1"/>
    <xf numFmtId="0" fontId="10" fillId="0" borderId="0" xfId="0" applyFont="1"/>
    <xf numFmtId="0" fontId="11" fillId="0" borderId="0" xfId="0" applyFont="1"/>
    <xf numFmtId="0" fontId="4" fillId="28" borderId="1" xfId="0" applyFont="1" applyFill="1" applyBorder="1"/>
    <xf numFmtId="0" fontId="12" fillId="29" borderId="2" xfId="0" applyFont="1" applyFill="1" applyBorder="1" applyAlignment="1">
      <alignment vertical="center" wrapText="1"/>
    </xf>
    <xf numFmtId="0" fontId="13" fillId="25" borderId="4" xfId="0" applyFont="1" applyFill="1" applyBorder="1" applyAlignment="1">
      <alignment horizontal="center" vertical="center" wrapText="1"/>
    </xf>
    <xf numFmtId="0" fontId="14" fillId="25" borderId="1" xfId="0" applyFont="1" applyFill="1" applyBorder="1" applyAlignment="1">
      <alignment vertical="center"/>
    </xf>
    <xf numFmtId="0" fontId="6" fillId="0" borderId="0" xfId="0" applyFont="1"/>
    <xf numFmtId="14" fontId="15" fillId="0" borderId="0" xfId="0" applyNumberFormat="1" applyFont="1"/>
    <xf numFmtId="0" fontId="12" fillId="30" borderId="2" xfId="0" applyFont="1" applyFill="1" applyBorder="1" applyAlignment="1">
      <alignment vertical="center" wrapText="1"/>
    </xf>
    <xf numFmtId="0" fontId="13" fillId="25" borderId="4" xfId="0" applyFont="1" applyFill="1" applyBorder="1" applyAlignment="1">
      <alignment vertical="center" wrapText="1"/>
    </xf>
    <xf numFmtId="164" fontId="19" fillId="0" borderId="0" xfId="0" applyNumberFormat="1" applyFont="1" applyAlignment="1">
      <alignment horizontal="center" vertical="center" wrapText="1"/>
    </xf>
    <xf numFmtId="0" fontId="17" fillId="0" borderId="3" xfId="0" applyFont="1" applyBorder="1" applyAlignment="1">
      <alignment horizontal="center" vertical="center" wrapText="1"/>
    </xf>
    <xf numFmtId="0" fontId="21" fillId="26" borderId="3" xfId="0" applyFont="1" applyFill="1" applyBorder="1" applyAlignment="1">
      <alignment vertical="center" wrapText="1"/>
    </xf>
    <xf numFmtId="0" fontId="4" fillId="31" borderId="10" xfId="0" applyFont="1" applyFill="1" applyBorder="1"/>
    <xf numFmtId="0" fontId="13" fillId="25" borderId="1" xfId="0" applyFont="1" applyFill="1" applyBorder="1" applyAlignment="1">
      <alignment horizontal="center" vertical="center" wrapText="1"/>
    </xf>
    <xf numFmtId="0" fontId="7" fillId="32" borderId="11" xfId="0" applyFont="1" applyFill="1" applyBorder="1" applyAlignment="1">
      <alignment vertical="top" wrapText="1"/>
    </xf>
    <xf numFmtId="0" fontId="17" fillId="26" borderId="3" xfId="0" applyFont="1" applyFill="1" applyBorder="1" applyAlignment="1">
      <alignment vertical="center" wrapText="1"/>
    </xf>
    <xf numFmtId="0" fontId="13" fillId="25" borderId="1" xfId="0" applyFont="1" applyFill="1" applyBorder="1" applyAlignment="1">
      <alignment vertical="center" wrapText="1"/>
    </xf>
    <xf numFmtId="0" fontId="21" fillId="26" borderId="3" xfId="0" applyFont="1" applyFill="1" applyBorder="1" applyAlignment="1">
      <alignment vertical="center" wrapText="1"/>
    </xf>
    <xf numFmtId="0" fontId="23" fillId="25" borderId="1" xfId="0" applyFont="1" applyFill="1" applyBorder="1" applyAlignment="1">
      <alignment horizontal="center" vertical="center" wrapText="1"/>
    </xf>
    <xf numFmtId="0" fontId="4" fillId="31" borderId="14" xfId="0" applyFont="1" applyFill="1" applyBorder="1"/>
    <xf numFmtId="0" fontId="4" fillId="21" borderId="15" xfId="0" applyFont="1" applyFill="1" applyBorder="1"/>
    <xf numFmtId="0" fontId="18" fillId="31" borderId="11" xfId="0" applyFont="1" applyFill="1" applyBorder="1" applyAlignment="1">
      <alignment vertical="center" wrapText="1"/>
    </xf>
    <xf numFmtId="0" fontId="6" fillId="21" borderId="1" xfId="0" applyFont="1" applyFill="1" applyBorder="1"/>
    <xf numFmtId="0" fontId="24" fillId="0" borderId="3" xfId="0" applyFont="1" applyBorder="1" applyAlignment="1">
      <alignment vertical="center" wrapText="1"/>
    </xf>
    <xf numFmtId="0" fontId="25" fillId="0" borderId="16" xfId="0" applyFont="1" applyBorder="1" applyAlignment="1">
      <alignment horizontal="center" vertical="center" wrapText="1"/>
    </xf>
    <xf numFmtId="0" fontId="26" fillId="26" borderId="3" xfId="0" applyFont="1" applyFill="1" applyBorder="1" applyAlignment="1">
      <alignment horizontal="center" vertical="center" wrapText="1"/>
    </xf>
    <xf numFmtId="0" fontId="4" fillId="31" borderId="17" xfId="0" applyFont="1" applyFill="1" applyBorder="1"/>
    <xf numFmtId="0" fontId="25" fillId="0" borderId="16" xfId="0" applyFont="1" applyBorder="1" applyAlignment="1">
      <alignment vertical="center" wrapText="1"/>
    </xf>
    <xf numFmtId="0" fontId="27" fillId="26" borderId="3" xfId="0" applyFont="1" applyFill="1" applyBorder="1" applyAlignment="1">
      <alignment vertical="center" wrapText="1"/>
    </xf>
    <xf numFmtId="0" fontId="18" fillId="0" borderId="16" xfId="0" applyFont="1" applyBorder="1" applyAlignment="1">
      <alignment vertical="center" wrapText="1"/>
    </xf>
    <xf numFmtId="14" fontId="21" fillId="26" borderId="3" xfId="0" applyNumberFormat="1" applyFont="1" applyFill="1" applyBorder="1" applyAlignment="1">
      <alignment horizontal="center" vertical="center" wrapText="1"/>
    </xf>
    <xf numFmtId="0" fontId="27" fillId="0" borderId="18" xfId="0" applyFont="1" applyBorder="1" applyAlignment="1">
      <alignment vertical="center" wrapText="1"/>
    </xf>
    <xf numFmtId="9" fontId="28" fillId="21" borderId="1" xfId="0" applyNumberFormat="1" applyFont="1" applyFill="1" applyBorder="1" applyAlignment="1">
      <alignment horizontal="left" vertical="center"/>
    </xf>
    <xf numFmtId="0" fontId="29" fillId="0" borderId="0" xfId="0" applyFont="1"/>
    <xf numFmtId="0" fontId="18" fillId="33" borderId="19" xfId="0" applyFont="1" applyFill="1" applyBorder="1" applyAlignment="1">
      <alignment vertical="center" wrapText="1"/>
    </xf>
    <xf numFmtId="0" fontId="30" fillId="21" borderId="1" xfId="0" applyFont="1" applyFill="1" applyBorder="1" applyAlignment="1">
      <alignment horizontal="left" vertical="center"/>
    </xf>
    <xf numFmtId="0" fontId="31" fillId="32" borderId="19" xfId="0" applyFont="1" applyFill="1" applyBorder="1" applyAlignment="1">
      <alignment vertical="top" wrapText="1"/>
    </xf>
    <xf numFmtId="0" fontId="17" fillId="0" borderId="3" xfId="0" applyFont="1" applyBorder="1" applyAlignment="1">
      <alignment vertical="center" wrapText="1"/>
    </xf>
    <xf numFmtId="0" fontId="4" fillId="34" borderId="20" xfId="0" applyFont="1" applyFill="1" applyBorder="1"/>
    <xf numFmtId="14" fontId="4" fillId="0" borderId="0" xfId="0" applyNumberFormat="1" applyFont="1"/>
    <xf numFmtId="0" fontId="21" fillId="26" borderId="3" xfId="0" applyFont="1" applyFill="1" applyBorder="1" applyAlignment="1">
      <alignment horizontal="center" vertical="center" wrapText="1"/>
    </xf>
    <xf numFmtId="0" fontId="24" fillId="26" borderId="3" xfId="0" applyFont="1" applyFill="1" applyBorder="1" applyAlignment="1">
      <alignment vertical="center" wrapText="1"/>
    </xf>
    <xf numFmtId="0" fontId="4" fillId="35" borderId="22" xfId="0" applyFont="1" applyFill="1" applyBorder="1"/>
    <xf numFmtId="0" fontId="34" fillId="0" borderId="3" xfId="0" applyFont="1" applyBorder="1" applyAlignment="1">
      <alignment horizontal="center" vertical="center" wrapText="1"/>
    </xf>
    <xf numFmtId="0" fontId="35" fillId="32" borderId="23" xfId="0" applyFont="1" applyFill="1" applyBorder="1" applyAlignment="1">
      <alignment vertical="top" wrapText="1"/>
    </xf>
    <xf numFmtId="0" fontId="36" fillId="0" borderId="24" xfId="0" applyFont="1" applyBorder="1" applyAlignment="1">
      <alignment horizontal="center" vertical="center" wrapText="1"/>
    </xf>
    <xf numFmtId="0" fontId="24" fillId="21" borderId="1" xfId="0" applyFont="1" applyFill="1" applyBorder="1" applyAlignment="1">
      <alignment vertical="top" wrapText="1"/>
    </xf>
    <xf numFmtId="0" fontId="35" fillId="36" borderId="25" xfId="0" applyFont="1" applyFill="1" applyBorder="1" applyAlignment="1">
      <alignment vertical="top" wrapText="1"/>
    </xf>
    <xf numFmtId="0" fontId="4" fillId="35" borderId="27" xfId="0" applyFont="1" applyFill="1" applyBorder="1"/>
    <xf numFmtId="0" fontId="37" fillId="0" borderId="8" xfId="0" applyFont="1" applyBorder="1"/>
    <xf numFmtId="0" fontId="4" fillId="0" borderId="8" xfId="0" applyFont="1" applyBorder="1"/>
    <xf numFmtId="0" fontId="35" fillId="32" borderId="28" xfId="0" applyFont="1" applyFill="1" applyBorder="1" applyAlignment="1">
      <alignment vertical="top" wrapText="1"/>
    </xf>
    <xf numFmtId="0" fontId="21" fillId="26" borderId="3" xfId="0" applyFont="1" applyFill="1" applyBorder="1" applyAlignment="1">
      <alignment horizontal="center" vertical="center" wrapText="1"/>
    </xf>
    <xf numFmtId="0" fontId="4" fillId="35" borderId="14" xfId="0" applyFont="1" applyFill="1" applyBorder="1"/>
    <xf numFmtId="0" fontId="21" fillId="0" borderId="3" xfId="0" applyFont="1" applyBorder="1" applyAlignment="1">
      <alignment horizontal="center" vertical="center" wrapText="1"/>
    </xf>
    <xf numFmtId="0" fontId="38" fillId="0" borderId="8" xfId="0" applyFont="1" applyBorder="1"/>
    <xf numFmtId="0" fontId="39" fillId="0" borderId="3" xfId="0" applyFont="1" applyBorder="1" applyAlignment="1">
      <alignment vertical="center" wrapText="1"/>
    </xf>
    <xf numFmtId="0" fontId="21" fillId="0" borderId="3" xfId="0" applyFont="1" applyBorder="1" applyAlignment="1">
      <alignment vertical="center" wrapText="1"/>
    </xf>
    <xf numFmtId="0" fontId="40" fillId="0" borderId="3" xfId="0" applyFont="1" applyBorder="1" applyAlignment="1">
      <alignment vertical="center" wrapText="1"/>
    </xf>
    <xf numFmtId="0" fontId="41" fillId="0" borderId="3" xfId="0" applyFont="1" applyBorder="1" applyAlignment="1">
      <alignment horizontal="center" vertical="center" wrapText="1"/>
    </xf>
    <xf numFmtId="0" fontId="35" fillId="0" borderId="3" xfId="0" applyFont="1" applyBorder="1" applyAlignment="1">
      <alignment vertical="center" wrapText="1"/>
    </xf>
    <xf numFmtId="0" fontId="42" fillId="0" borderId="3" xfId="0" applyFont="1" applyBorder="1" applyAlignment="1">
      <alignment vertical="center" wrapText="1"/>
    </xf>
    <xf numFmtId="0" fontId="43" fillId="0" borderId="3" xfId="0" applyFont="1" applyBorder="1" applyAlignment="1">
      <alignment vertical="center" wrapText="1"/>
    </xf>
    <xf numFmtId="0" fontId="44" fillId="0" borderId="0" xfId="0" applyFont="1"/>
    <xf numFmtId="0" fontId="13" fillId="0" borderId="0" xfId="0" applyFont="1" applyAlignment="1">
      <alignment vertical="center" wrapText="1"/>
    </xf>
    <xf numFmtId="0" fontId="45" fillId="0" borderId="0" xfId="0" applyFont="1"/>
    <xf numFmtId="164" fontId="4" fillId="0" borderId="0" xfId="0" applyNumberFormat="1" applyFont="1"/>
    <xf numFmtId="165" fontId="4" fillId="0" borderId="0" xfId="0" applyNumberFormat="1" applyFont="1"/>
    <xf numFmtId="0" fontId="33" fillId="21" borderId="5" xfId="0" applyFont="1" applyFill="1" applyBorder="1" applyAlignment="1">
      <alignment horizontal="left" vertical="center"/>
    </xf>
    <xf numFmtId="0" fontId="16" fillId="0" borderId="13" xfId="0" applyFont="1" applyBorder="1"/>
    <xf numFmtId="0" fontId="16" fillId="0" borderId="6" xfId="0" applyFont="1" applyBorder="1"/>
    <xf numFmtId="0" fontId="24" fillId="21" borderId="5" xfId="0" applyFont="1" applyFill="1" applyBorder="1" applyAlignment="1">
      <alignment vertical="top" wrapText="1"/>
    </xf>
    <xf numFmtId="14" fontId="11" fillId="26" borderId="5" xfId="0" applyNumberFormat="1" applyFont="1" applyFill="1" applyBorder="1" applyAlignment="1">
      <alignment horizontal="center" vertical="center" wrapText="1"/>
    </xf>
    <xf numFmtId="0" fontId="20" fillId="0" borderId="0" xfId="0" applyFont="1"/>
    <xf numFmtId="0" fontId="0" fillId="0" borderId="0" xfId="0" applyFont="1" applyAlignment="1"/>
    <xf numFmtId="0" fontId="22" fillId="25" borderId="5" xfId="0" applyFont="1" applyFill="1" applyBorder="1"/>
    <xf numFmtId="0" fontId="6" fillId="21" borderId="5" xfId="0" applyFont="1" applyFill="1" applyBorder="1"/>
    <xf numFmtId="0" fontId="32" fillId="21" borderId="5" xfId="0" applyFont="1" applyFill="1" applyBorder="1" applyAlignment="1">
      <alignment horizontal="left" vertical="center"/>
    </xf>
    <xf numFmtId="0" fontId="17" fillId="0" borderId="32" xfId="0" applyFont="1" applyBorder="1" applyAlignment="1">
      <alignment vertical="center" wrapText="1"/>
    </xf>
    <xf numFmtId="0" fontId="16" fillId="0" borderId="39" xfId="0" applyFont="1" applyBorder="1"/>
    <xf numFmtId="0" fontId="16" fillId="0" borderId="33" xfId="0" applyFont="1" applyBorder="1"/>
    <xf numFmtId="0" fontId="13" fillId="25" borderId="30" xfId="0" applyFont="1" applyFill="1" applyBorder="1" applyAlignment="1">
      <alignment vertical="center" wrapText="1"/>
    </xf>
    <xf numFmtId="0" fontId="16" fillId="0" borderId="31" xfId="0" applyFont="1" applyBorder="1"/>
    <xf numFmtId="0" fontId="21" fillId="0" borderId="32"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vertical="top" wrapText="1"/>
    </xf>
    <xf numFmtId="0" fontId="21" fillId="21" borderId="38" xfId="0" applyFont="1" applyFill="1" applyBorder="1" applyAlignment="1">
      <alignment vertical="center" wrapText="1"/>
    </xf>
    <xf numFmtId="0" fontId="21" fillId="0" borderId="32" xfId="0" applyFont="1" applyBorder="1" applyAlignment="1">
      <alignment vertical="center" wrapText="1"/>
    </xf>
    <xf numFmtId="0" fontId="39" fillId="31" borderId="9" xfId="0" applyFont="1" applyFill="1" applyBorder="1" applyAlignment="1">
      <alignment vertical="center" wrapText="1"/>
    </xf>
    <xf numFmtId="0" fontId="16" fillId="0" borderId="12" xfId="0" applyFont="1" applyBorder="1"/>
    <xf numFmtId="0" fontId="42" fillId="33" borderId="34" xfId="0" applyFont="1" applyFill="1" applyBorder="1" applyAlignment="1">
      <alignment vertical="center" wrapText="1"/>
    </xf>
    <xf numFmtId="0" fontId="16" fillId="0" borderId="35" xfId="0" applyFont="1" applyBorder="1"/>
    <xf numFmtId="0" fontId="16" fillId="0" borderId="36" xfId="0" applyFont="1" applyBorder="1"/>
    <xf numFmtId="0" fontId="43" fillId="35" borderId="37" xfId="0" applyFont="1" applyFill="1" applyBorder="1" applyAlignment="1">
      <alignment vertical="center" wrapText="1"/>
    </xf>
    <xf numFmtId="0" fontId="16" fillId="0" borderId="26" xfId="0" applyFont="1" applyBorder="1"/>
    <xf numFmtId="0" fontId="16" fillId="0" borderId="29" xfId="0" applyFont="1" applyBorder="1"/>
    <xf numFmtId="0" fontId="5" fillId="0" borderId="0" xfId="0" applyFont="1"/>
    <xf numFmtId="0" fontId="18" fillId="31" borderId="9" xfId="0" applyFont="1" applyFill="1" applyBorder="1" applyAlignment="1">
      <alignment vertical="center" wrapText="1"/>
    </xf>
    <xf numFmtId="0" fontId="18" fillId="35" borderId="21" xfId="0" applyFont="1" applyFill="1" applyBorder="1" applyAlignment="1">
      <alignment vertical="center" wrapText="1"/>
    </xf>
    <xf numFmtId="0" fontId="10" fillId="0" borderId="0" xfId="0" applyFont="1" applyAlignment="1">
      <alignment vertical="top" wrapText="1"/>
    </xf>
    <xf numFmtId="0" fontId="17" fillId="0" borderId="7" xfId="0" applyFont="1" applyBorder="1" applyAlignment="1">
      <alignment horizontal="left"/>
    </xf>
    <xf numFmtId="0" fontId="16" fillId="0" borderId="8" xfId="0" applyFont="1" applyBorder="1"/>
    <xf numFmtId="0" fontId="5" fillId="0" borderId="0" xfId="0" applyFont="1" applyAlignment="1">
      <alignment vertical="top" wrapText="1"/>
    </xf>
  </cellXfs>
  <cellStyles count="1">
    <cellStyle name="Normal" xfId="0" builtinId="0"/>
  </cellStyles>
  <dxfs count="50">
    <dxf>
      <fill>
        <patternFill patternType="solid">
          <fgColor rgb="FFF3F4F6"/>
          <bgColor rgb="FFF3F4F6"/>
        </patternFill>
      </fill>
    </dxf>
    <dxf>
      <fill>
        <patternFill patternType="solid">
          <fgColor rgb="FF0078A0"/>
          <bgColor rgb="FF0078A0"/>
        </patternFill>
      </fill>
    </dxf>
    <dxf>
      <fill>
        <patternFill patternType="solid">
          <fgColor rgb="FF00A693"/>
          <bgColor rgb="FF00A693"/>
        </patternFill>
      </fill>
    </dxf>
    <dxf>
      <fill>
        <patternFill patternType="solid">
          <fgColor rgb="FFB041FF"/>
          <bgColor rgb="FFB041FF"/>
        </patternFill>
      </fill>
    </dxf>
    <dxf>
      <fill>
        <patternFill patternType="solid">
          <fgColor rgb="FFBCE4F1"/>
          <bgColor rgb="FFBCE4F1"/>
        </patternFill>
      </fill>
    </dxf>
    <dxf>
      <fill>
        <patternFill patternType="solid">
          <fgColor rgb="FFB8ECE5"/>
          <bgColor rgb="FFB8ECE5"/>
        </patternFill>
      </fill>
    </dxf>
    <dxf>
      <fill>
        <patternFill patternType="solid">
          <fgColor rgb="FFE7C8FF"/>
          <bgColor rgb="FFE7C8FF"/>
        </patternFill>
      </fill>
    </dxf>
    <dxf>
      <fill>
        <patternFill patternType="solid">
          <fgColor rgb="FFCFE3DF"/>
          <bgColor rgb="FFCFE3DF"/>
        </patternFill>
      </fill>
    </dxf>
    <dxf>
      <fill>
        <patternFill patternType="solid">
          <fgColor rgb="FFFFF7E6"/>
          <bgColor rgb="FFFFF7E6"/>
        </patternFill>
      </fill>
      <border>
        <left style="medium">
          <color rgb="FFB66C00"/>
        </left>
        <right style="medium">
          <color rgb="FFB66C00"/>
        </right>
      </border>
    </dxf>
    <dxf>
      <font>
        <b/>
        <color rgb="FFFFFFFF"/>
        <name val="Arial"/>
      </font>
      <fill>
        <patternFill patternType="solid">
          <fgColor rgb="FFC2401F"/>
          <bgColor rgb="FFC2401F"/>
        </patternFill>
      </fill>
    </dxf>
    <dxf>
      <font>
        <b/>
        <color rgb="FFB041FF"/>
        <name val="Arial"/>
      </font>
      <fill>
        <patternFill patternType="none"/>
      </fill>
    </dxf>
    <dxf>
      <fill>
        <patternFill patternType="solid">
          <fgColor rgb="FFFCEBE6"/>
          <bgColor rgb="FFFCEBE6"/>
        </patternFill>
      </fill>
    </dxf>
    <dxf>
      <font>
        <b/>
        <color rgb="FF6B7280"/>
        <name val="Arial"/>
      </font>
      <fill>
        <patternFill patternType="solid">
          <fgColor rgb="FFF3F4F6"/>
          <bgColor rgb="FFF3F4F6"/>
        </patternFill>
      </fill>
    </dxf>
    <dxf>
      <font>
        <b/>
        <color rgb="FFB26B00"/>
        <name val="Arial"/>
      </font>
      <fill>
        <patternFill patternType="solid">
          <fgColor rgb="FFFFF4DC"/>
          <bgColor rgb="FFFFF4DC"/>
        </patternFill>
      </fill>
    </dxf>
    <dxf>
      <font>
        <b/>
        <color rgb="FFC2401F"/>
        <name val="Arial"/>
      </font>
      <fill>
        <patternFill patternType="solid">
          <fgColor rgb="FFFCEBE6"/>
          <bgColor rgb="FFFCEBE6"/>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
      <font>
        <b/>
        <color rgb="FF006B5E"/>
        <name val="Arial"/>
      </font>
      <fill>
        <patternFill patternType="solid">
          <fgColor rgb="FFD6F2EE"/>
          <bgColor rgb="FFD6F2EE"/>
        </patternFill>
      </fill>
    </dxf>
    <dxf>
      <font>
        <b/>
        <color rgb="FF006B5E"/>
        <name val="Arial"/>
      </font>
      <fill>
        <patternFill patternType="solid">
          <fgColor rgb="FFD6F2EE"/>
          <bgColor rgb="FFD6F2EE"/>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
      <font>
        <b/>
        <color rgb="FF006B5E"/>
        <name val="Arial"/>
      </font>
      <fill>
        <patternFill patternType="solid">
          <fgColor rgb="FFD6F2EE"/>
          <bgColor rgb="FFD6F2EE"/>
        </patternFill>
      </fill>
    </dxf>
    <dxf>
      <font>
        <b/>
        <color rgb="FF7A1FBF"/>
        <name val="Arial"/>
      </font>
      <fill>
        <patternFill patternType="solid">
          <fgColor rgb="FFF4E9FF"/>
          <bgColor rgb="FFF4E9FF"/>
        </patternFill>
      </fill>
    </dxf>
    <dxf>
      <font>
        <b/>
        <color rgb="FFB26B00"/>
        <name val="Arial"/>
      </font>
      <fill>
        <patternFill patternType="solid">
          <fgColor rgb="FFFFF4DC"/>
          <bgColor rgb="FFFFF4DC"/>
        </patternFill>
      </fill>
    </dxf>
    <dxf>
      <font>
        <b/>
        <color rgb="FFC2401F"/>
        <name val="Arial"/>
      </font>
      <fill>
        <patternFill patternType="solid">
          <fgColor rgb="FFFCEBE6"/>
          <bgColor rgb="FFFCEBE6"/>
        </patternFill>
      </fill>
    </dxf>
    <dxf>
      <font>
        <b/>
        <color rgb="FF006B5E"/>
        <name val="Arial"/>
      </font>
      <fill>
        <patternFill patternType="solid">
          <fgColor rgb="FFD6F2EE"/>
          <bgColor rgb="FFD6F2EE"/>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
      <font>
        <b/>
        <color rgb="FF0078A0"/>
        <name val="Arial"/>
      </font>
      <fill>
        <patternFill patternType="none"/>
      </fill>
    </dxf>
    <dxf>
      <font>
        <b/>
        <color rgb="FF7A1FBF"/>
        <name val="Arial"/>
      </font>
      <fill>
        <patternFill patternType="none"/>
      </fill>
    </dxf>
    <dxf>
      <font>
        <b/>
        <color rgb="FF006B5E"/>
        <name val="Arial"/>
      </font>
      <fill>
        <patternFill patternType="none"/>
      </fill>
    </dxf>
    <dxf>
      <font>
        <color rgb="FF9AA1AC"/>
        <name val="Arial"/>
      </font>
      <fill>
        <patternFill patternType="none"/>
      </fill>
    </dxf>
    <dxf>
      <font>
        <b/>
        <color rgb="FFFFFFFF"/>
        <name val="Arial"/>
      </font>
      <fill>
        <patternFill patternType="solid">
          <fgColor rgb="FF142814"/>
          <bgColor rgb="FF142814"/>
        </patternFill>
      </fill>
    </dxf>
    <dxf>
      <font>
        <b/>
        <color rgb="FFFFFFFF"/>
        <name val="Arial"/>
      </font>
      <fill>
        <patternFill patternType="solid">
          <fgColor rgb="FFB041FF"/>
          <bgColor rgb="FFB041FF"/>
        </patternFill>
      </fill>
    </dxf>
    <dxf>
      <font>
        <b/>
        <color rgb="FF6B7280"/>
        <name val="Arial"/>
      </font>
      <fill>
        <patternFill patternType="solid">
          <fgColor rgb="FFF3F4F6"/>
          <bgColor rgb="FFF3F4F6"/>
        </patternFill>
      </fill>
    </dxf>
    <dxf>
      <font>
        <b/>
        <color rgb="FFB26B00"/>
        <name val="Arial"/>
      </font>
      <fill>
        <patternFill patternType="solid">
          <fgColor rgb="FFFFF4DC"/>
          <bgColor rgb="FFFFF4DC"/>
        </patternFill>
      </fill>
    </dxf>
    <dxf>
      <font>
        <b/>
        <color rgb="FFC2401F"/>
        <name val="Arial"/>
      </font>
      <fill>
        <patternFill patternType="solid">
          <fgColor rgb="FFFCEBE6"/>
          <bgColor rgb="FFFCEBE6"/>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
      <font>
        <b/>
        <color rgb="FF006B5E"/>
        <name val="Arial"/>
      </font>
      <fill>
        <patternFill patternType="solid">
          <fgColor rgb="FFD6F2EE"/>
          <bgColor rgb="FFD6F2EE"/>
        </patternFill>
      </fill>
    </dxf>
    <dxf>
      <font>
        <b/>
        <color rgb="FF006B5E"/>
        <name val="Arial"/>
      </font>
      <fill>
        <patternFill patternType="solid">
          <fgColor rgb="FFD6F2EE"/>
          <bgColor rgb="FFD6F2EE"/>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
      <font>
        <b/>
        <color rgb="FF006B5E"/>
        <name val="Arial"/>
      </font>
      <fill>
        <patternFill patternType="solid">
          <fgColor rgb="FFD6F2EE"/>
          <bgColor rgb="FFD6F2EE"/>
        </patternFill>
      </fill>
    </dxf>
    <dxf>
      <font>
        <b/>
        <color rgb="FF7A1FBF"/>
        <name val="Arial"/>
      </font>
      <fill>
        <patternFill patternType="solid">
          <fgColor rgb="FFF4E9FF"/>
          <bgColor rgb="FFF4E9FF"/>
        </patternFill>
      </fill>
    </dxf>
    <dxf>
      <font>
        <b/>
        <color rgb="FFB26B00"/>
        <name val="Arial"/>
      </font>
      <fill>
        <patternFill patternType="solid">
          <fgColor rgb="FFFFF4DC"/>
          <bgColor rgb="FFFFF4DC"/>
        </patternFill>
      </fill>
    </dxf>
    <dxf>
      <font>
        <b/>
        <color rgb="FFC2401F"/>
        <name val="Arial"/>
      </font>
      <fill>
        <patternFill patternType="solid">
          <fgColor rgb="FFFCEBE6"/>
          <bgColor rgb="FFFCEBE6"/>
        </patternFill>
      </fill>
    </dxf>
    <dxf>
      <font>
        <b/>
        <color rgb="FF006B5E"/>
        <name val="Arial"/>
      </font>
      <fill>
        <patternFill patternType="solid">
          <fgColor rgb="FFD6F2EE"/>
          <bgColor rgb="FFD6F2EE"/>
        </patternFill>
      </fill>
    </dxf>
    <dxf>
      <font>
        <b/>
        <color rgb="FFB26B00"/>
        <name val="Arial"/>
      </font>
      <fill>
        <patternFill patternType="solid">
          <fgColor rgb="FFFFF4DC"/>
          <bgColor rgb="FFFFF4DC"/>
        </patternFill>
      </fill>
    </dxf>
    <dxf>
      <font>
        <b/>
        <color rgb="FF6B7280"/>
        <name val="Arial"/>
      </font>
      <fill>
        <patternFill patternType="solid">
          <fgColor rgb="FFF3F4F6"/>
          <bgColor rgb="FFF3F4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15240</xdr:rowOff>
    </xdr:from>
    <xdr:ext cx="2105025" cy="276225"/>
    <xdr:pic>
      <xdr:nvPicPr>
        <xdr:cNvPr id="3" name="image2.png" descr="Picture"/>
        <xdr:cNvPicPr preferRelativeResize="0"/>
      </xdr:nvPicPr>
      <xdr:blipFill>
        <a:blip xmlns:r="http://schemas.openxmlformats.org/officeDocument/2006/relationships" r:embed="rId1" cstate="print"/>
        <a:stretch>
          <a:fillRect/>
        </a:stretch>
      </xdr:blipFill>
      <xdr:spPr>
        <a:xfrm>
          <a:off x="167640" y="137160"/>
          <a:ext cx="2105025" cy="276225"/>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files/Xperise_Onboarding_NamABank.xlsx" TargetMode="External"/><Relationship Id="rId3" Type="http://schemas.openxmlformats.org/officeDocument/2006/relationships/hyperlink" Target="http://files/Xperise_Onboarding_NamABank.xlsx" TargetMode="External"/><Relationship Id="rId7" Type="http://schemas.openxmlformats.org/officeDocument/2006/relationships/hyperlink" Target="http://files/Xperise_Onboarding_NamABank.xlsx" TargetMode="External"/><Relationship Id="rId2" Type="http://schemas.openxmlformats.org/officeDocument/2006/relationships/hyperlink" Target="http://files/Xperise_Onboarding_NamABank.xlsx" TargetMode="External"/><Relationship Id="rId1" Type="http://schemas.openxmlformats.org/officeDocument/2006/relationships/hyperlink" Target="http://files/Xperise_Onboarding_NamABank.xlsx" TargetMode="External"/><Relationship Id="rId6" Type="http://schemas.openxmlformats.org/officeDocument/2006/relationships/hyperlink" Target="http://files/Xperise_Onboarding_NamABank.xlsx" TargetMode="External"/><Relationship Id="rId5" Type="http://schemas.openxmlformats.org/officeDocument/2006/relationships/hyperlink" Target="http://files/Xperise_Onboarding_NamABank.xlsx" TargetMode="External"/><Relationship Id="rId10" Type="http://schemas.openxmlformats.org/officeDocument/2006/relationships/drawing" Target="../drawings/drawing1.xml"/><Relationship Id="rId4" Type="http://schemas.openxmlformats.org/officeDocument/2006/relationships/hyperlink" Target="http://files/Xperise_Onboarding_NamABank.xlsx" TargetMode="External"/><Relationship Id="rId9" Type="http://schemas.openxmlformats.org/officeDocument/2006/relationships/hyperlink" Target="http://files/Xperise_Onboarding_NamABank.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814"/>
    <pageSetUpPr fitToPage="1"/>
  </sheetPr>
  <dimension ref="B1:I1000"/>
  <sheetViews>
    <sheetView showGridLines="0" topLeftCell="A28" workbookViewId="0">
      <selection activeCell="I16" sqref="I16"/>
    </sheetView>
  </sheetViews>
  <sheetFormatPr defaultColWidth="14.44140625" defaultRowHeight="15" customHeight="1"/>
  <cols>
    <col min="1" max="1" width="2.44140625" customWidth="1"/>
    <col min="2" max="2" width="30" customWidth="1"/>
    <col min="3" max="5" width="16" customWidth="1"/>
    <col min="6" max="6" width="4" customWidth="1"/>
    <col min="7" max="7" width="30" customWidth="1"/>
    <col min="8" max="9" width="16" customWidth="1"/>
    <col min="10" max="26" width="8.6640625" customWidth="1"/>
  </cols>
  <sheetData>
    <row r="1" spans="2:9" ht="9.75" customHeight="1"/>
    <row r="2" spans="2:9" ht="39.75" customHeight="1">
      <c r="B2" s="2" t="s">
        <v>188</v>
      </c>
    </row>
    <row r="3" spans="2:9" ht="3.75" customHeight="1">
      <c r="B3" s="3"/>
      <c r="C3" s="5"/>
      <c r="D3" s="7"/>
      <c r="E3" s="12"/>
      <c r="F3" s="18"/>
      <c r="G3" s="19"/>
      <c r="H3" s="20"/>
      <c r="I3" s="16"/>
    </row>
    <row r="5" spans="2:9" ht="14.4">
      <c r="B5" s="23" t="s">
        <v>8</v>
      </c>
      <c r="G5" s="27" t="s">
        <v>10</v>
      </c>
      <c r="H5" s="31"/>
      <c r="I5" s="31"/>
    </row>
    <row r="6" spans="2:9" ht="36" customHeight="1">
      <c r="B6" s="33" t="s">
        <v>14</v>
      </c>
      <c r="G6" s="37" t="s">
        <v>16</v>
      </c>
      <c r="H6" s="105">
        <v>46293</v>
      </c>
      <c r="I6" s="103"/>
    </row>
    <row r="7" spans="2:9" ht="14.4">
      <c r="B7" s="106" t="str">
        <f ca="1">"Dự án đang ở giai đoạn "&amp;IF(COUNTIFS('Kế hoạch triển khai'!$C$8:$C$33,B16,'Kế hoạch triển khai'!$M$8:$M$33,"&lt;&gt;Hoàn thành")&gt;0,B16,IF(COUNTIFS('Kế hoạch triển khai'!$C$8:$C$33,B17,'Kế hoạch triển khai'!$M$8:$M$33,"&lt;&gt;Hoàn thành")&gt;0,B17,IF(COUNTIFS('Kế hoạch triển khai'!$C$8:$C$33,B18,'Kế hoạch triển khai'!$M$8:$M$33,"&lt;&gt;Hoàn thành")&gt;0,B18,IF(COUNTIFS('Kế hoạch triển khai'!$C$8:$C$33,B19,'Kế hoạch triển khai'!$M$8:$M$33,"&lt;&gt;Hoàn thành")&gt;0,B19,IF(COUNTIFS('Kế hoạch triển khai'!$C$8:$C$33,B20,'Kế hoạch triển khai'!$M$8:$M$33,"&lt;&gt;Hoàn thành")&gt;0,B20,"hoàn tất")))))&amp;"."&amp;IF(C11&gt;0," Hiện có "&amp;C11&amp;" hạng mục quá hạn cần xử lý.","")</f>
        <v>Dự án đang ở giai đoạn Tiến hành.</v>
      </c>
      <c r="C7" s="107"/>
      <c r="D7" s="107"/>
      <c r="E7" s="107"/>
      <c r="G7" s="108" t="str">
        <f ca="1">IF(H6="","Chưa đặt ngày",IF(H6-TODAY()&gt;0,"Còn "&amp;(H6-TODAY())&amp;" ngày",IF(H6=TODAY(),"Hôm nay là ngày vận hành","Đã qua "&amp;(TODAY()-H6)&amp;" ngày")))</f>
        <v>Còn 10 ngày</v>
      </c>
      <c r="H7" s="102"/>
      <c r="I7" s="103"/>
    </row>
    <row r="9" spans="2:9" ht="6" customHeight="1">
      <c r="B9" s="53"/>
      <c r="C9" s="53"/>
      <c r="D9" s="53"/>
      <c r="E9" s="53"/>
      <c r="G9" s="53"/>
      <c r="H9" s="53"/>
      <c r="I9" s="53"/>
    </row>
    <row r="10" spans="2:9" ht="15.75" customHeight="1">
      <c r="B10" s="55" t="s">
        <v>50</v>
      </c>
      <c r="C10" s="55" t="s">
        <v>51</v>
      </c>
      <c r="D10" s="109" t="s">
        <v>52</v>
      </c>
      <c r="E10" s="103"/>
      <c r="G10" s="109"/>
      <c r="H10" s="102"/>
      <c r="I10" s="103"/>
    </row>
    <row r="11" spans="2:9" ht="36" customHeight="1">
      <c r="B11" s="65">
        <f>IF(COUNTA('Kế hoạch triển khai'!$D$8:$D$33)=0,0,COUNTIF('Kế hoạch triển khai'!$M$8:$M$33,"Hoàn thành")/COUNTA('Kế hoạch triển khai'!$D$8:$D$33))</f>
        <v>0.125</v>
      </c>
      <c r="C11" s="68">
        <f ca="1">COUNTIF('Kế hoạch triển khai'!$P$8:$P$33,"Quá hạn")</f>
        <v>0</v>
      </c>
      <c r="D11" s="110">
        <f>COUNTIFS('Kế hoạch triển khai'!$E$8:$E$33,"Nam Á Bank",'Kế hoạch triển khai'!$M$8:$M$33,"&lt;&gt;Hoàn thành")</f>
        <v>3</v>
      </c>
      <c r="E11" s="103"/>
      <c r="G11" s="101"/>
      <c r="H11" s="102"/>
      <c r="I11" s="103"/>
    </row>
    <row r="12" spans="2:9" ht="30" customHeight="1">
      <c r="B12" s="79" t="str">
        <f>COUNTIF('Kế hoạch triển khai'!$M$8:$M$33,"Hoàn thành")&amp;" / "&amp;COUNTA('Kế hoạch triển khai'!$D$8:$D$33)&amp;" hạng mục"</f>
        <v>2 / 16 hạng mục</v>
      </c>
      <c r="C12" s="79" t="s">
        <v>77</v>
      </c>
      <c r="D12" s="104" t="s">
        <v>78</v>
      </c>
      <c r="E12" s="103"/>
      <c r="G12" s="104"/>
      <c r="H12" s="102"/>
      <c r="I12" s="103"/>
    </row>
    <row r="14" spans="2:9" ht="16.8">
      <c r="B14" s="82" t="s">
        <v>91</v>
      </c>
      <c r="C14" s="83"/>
      <c r="D14" s="83"/>
      <c r="E14" s="83"/>
      <c r="G14" s="82" t="s">
        <v>96</v>
      </c>
      <c r="H14" s="83"/>
      <c r="I14" s="83"/>
    </row>
    <row r="15" spans="2:9" ht="25.5" customHeight="1">
      <c r="B15" s="41" t="s">
        <v>20</v>
      </c>
      <c r="C15" s="41" t="s">
        <v>30</v>
      </c>
      <c r="D15" s="41" t="s">
        <v>97</v>
      </c>
      <c r="E15" s="41" t="s">
        <v>65</v>
      </c>
      <c r="G15" s="41" t="s">
        <v>98</v>
      </c>
      <c r="H15" s="41" t="s">
        <v>99</v>
      </c>
      <c r="I15" s="41" t="s">
        <v>34</v>
      </c>
    </row>
    <row r="16" spans="2:9" ht="21.75" customHeight="1">
      <c r="B16" s="70" t="s">
        <v>36</v>
      </c>
      <c r="C16" s="56" t="s">
        <v>101</v>
      </c>
      <c r="D16" s="87">
        <f>COUNTIF('Kế hoạch triển khai'!$C$8:$C$33,B16)</f>
        <v>1</v>
      </c>
      <c r="E16" s="87" t="str">
        <f>IF(D16=0,"—",COUNTIFS('Kế hoạch triển khai'!$C$8:$C$33,B16,'Kế hoạch triển khai'!$M$8:$M$33,"Hoàn thành")&amp;" ("&amp;TEXT(COUNTIFS('Kế hoạch triển khai'!$C$8:$C$33,B16,'Kế hoạch triển khai'!$M$8:$M$33,"Hoàn thành")/D16,"0%")&amp;")")</f>
        <v>1 (100%)</v>
      </c>
      <c r="G16" s="70" t="s">
        <v>73</v>
      </c>
      <c r="H16" s="87">
        <f>COUNTIFS('Kế hoạch triển khai'!$E$8:$E$33,"Xperise",'Kế hoạch triển khai'!$M$8:$M$33,"&lt;&gt;Hoàn thành")</f>
        <v>4</v>
      </c>
      <c r="I16" s="92">
        <f ca="1">COUNTIFS('Kế hoạch triển khai'!$E$8:$E$33,"Xperise",'Kế hoạch triển khai'!$P$8:$P$33,"Quá hạn")</f>
        <v>0</v>
      </c>
    </row>
    <row r="17" spans="2:9" ht="21.75" customHeight="1">
      <c r="B17" s="70" t="s">
        <v>71</v>
      </c>
      <c r="C17" s="56" t="s">
        <v>131</v>
      </c>
      <c r="D17" s="87">
        <f>COUNTIF('Kế hoạch triển khai'!$C$8:$C$33,B17)</f>
        <v>5</v>
      </c>
      <c r="E17" s="87" t="str">
        <f>IF(D17=0,"—",COUNTIFS('Kế hoạch triển khai'!$C$8:$C$33,B17,'Kế hoạch triển khai'!$M$8:$M$33,"Hoàn thành")&amp;" ("&amp;TEXT(COUNTIFS('Kế hoạch triển khai'!$C$8:$C$33,B17,'Kế hoạch triển khai'!$M$8:$M$33,"Hoàn thành")/D17,"0%")&amp;")")</f>
        <v>1 (20%)</v>
      </c>
      <c r="G17" s="70" t="s">
        <v>39</v>
      </c>
      <c r="H17" s="87">
        <f>COUNTIFS('Kế hoạch triển khai'!$E$8:$E$33,"Hai bên",'Kế hoạch triển khai'!$F$8:$F$33,"—",'Kế hoạch triển khai'!$M$8:$M$33,"&lt;&gt;Hoàn thành")</f>
        <v>0</v>
      </c>
      <c r="I17" s="92">
        <f>COUNTIFS('Kế hoạch triển khai'!$E$8:$E$33,"Hai bên",'Kế hoạch triển khai'!$F$8:$F$33,"—",'Kế hoạch triển khai'!$P$8:$P$33,"Quá hạn")</f>
        <v>0</v>
      </c>
    </row>
    <row r="18" spans="2:9" ht="21.75" customHeight="1">
      <c r="B18" s="70" t="s">
        <v>103</v>
      </c>
      <c r="C18" s="56" t="s">
        <v>135</v>
      </c>
      <c r="D18" s="87">
        <f>COUNTIF('Kế hoạch triển khai'!$C$8:$C$33,B18)</f>
        <v>2</v>
      </c>
      <c r="E18" s="87" t="str">
        <f>IF(D18=0,"—",COUNTIFS('Kế hoạch triển khai'!$C$8:$C$33,B18,'Kế hoạch triển khai'!$M$8:$M$33,"Hoàn thành")&amp;" ("&amp;TEXT(COUNTIFS('Kế hoạch triển khai'!$C$8:$C$33,B18,'Kế hoạch triển khai'!$M$8:$M$33,"Hoàn thành")/D18,"0%")&amp;")")</f>
        <v>0 (0%)</v>
      </c>
      <c r="G18" s="70" t="s">
        <v>112</v>
      </c>
      <c r="H18" s="87">
        <f>COUNTIFS('Kế hoạch triển khai'!$F$8:$F$33,"Hành chính",'Kế hoạch triển khai'!$E$8:$E$33,"&lt;&gt;Xperise",'Kế hoạch triển khai'!$M$8:$M$33,"&lt;&gt;Hoàn thành")</f>
        <v>6</v>
      </c>
      <c r="I18" s="92">
        <f ca="1">COUNTIFS('Kế hoạch triển khai'!$F$8:$F$33,"Hành chính",'Kế hoạch triển khai'!$E$8:$E$33,"&lt;&gt;Xperise",'Kế hoạch triển khai'!$P$8:$P$33,"Quá hạn")</f>
        <v>0</v>
      </c>
    </row>
    <row r="19" spans="2:9" ht="21.75" customHeight="1">
      <c r="B19" s="70" t="s">
        <v>113</v>
      </c>
      <c r="C19" s="56" t="s">
        <v>128</v>
      </c>
      <c r="D19" s="87">
        <f>COUNTIF('Kế hoạch triển khai'!$C$8:$C$33,B19)</f>
        <v>2</v>
      </c>
      <c r="E19" s="87" t="str">
        <f>IF(D19=0,"—",COUNTIFS('Kế hoạch triển khai'!$C$8:$C$33,B19,'Kế hoạch triển khai'!$M$8:$M$33,"Hoàn thành")&amp;" ("&amp;TEXT(COUNTIFS('Kế hoạch triển khai'!$C$8:$C$33,B19,'Kế hoạch triển khai'!$M$8:$M$33,"Hoàn thành")/D19,"0%")&amp;")")</f>
        <v>0 (0%)</v>
      </c>
      <c r="G19" s="70" t="s">
        <v>123</v>
      </c>
      <c r="H19" s="87">
        <f>COUNTIFS('Kế hoạch triển khai'!$F$8:$F$33,"Nhân sự",'Kế hoạch triển khai'!$E$8:$E$33,"&lt;&gt;Xperise",'Kế hoạch triển khai'!$M$8:$M$33,"&lt;&gt;Hoàn thành")</f>
        <v>0</v>
      </c>
      <c r="I19" s="92">
        <f>COUNTIFS('Kế hoạch triển khai'!$F$8:$F$33,"Nhân sự",'Kế hoạch triển khai'!$E$8:$E$33,"&lt;&gt;Xperise",'Kế hoạch triển khai'!$P$8:$P$33,"Quá hạn")</f>
        <v>0</v>
      </c>
    </row>
    <row r="20" spans="2:9" ht="21.75" customHeight="1">
      <c r="B20" s="70" t="s">
        <v>129</v>
      </c>
      <c r="C20" s="56" t="s">
        <v>164</v>
      </c>
      <c r="D20" s="87">
        <f>COUNTIF('Kế hoạch triển khai'!$C$8:$C$33,B20)</f>
        <v>6</v>
      </c>
      <c r="E20" s="87" t="str">
        <f>IF(D20=0,"—",COUNTIFS('Kế hoạch triển khai'!$C$8:$C$33,B20,'Kế hoạch triển khai'!$M$8:$M$33,"Hoàn thành")&amp;" ("&amp;TEXT(COUNTIFS('Kế hoạch triển khai'!$C$8:$C$33,B20,'Kế hoạch triển khai'!$M$8:$M$33,"Hoàn thành")/D20,"0%")&amp;")")</f>
        <v>0 (0%)</v>
      </c>
      <c r="G20" s="70" t="s">
        <v>133</v>
      </c>
      <c r="H20" s="87">
        <f>COUNTIFS('Kế hoạch triển khai'!$F$8:$F$33,"Kế toán",'Kế hoạch triển khai'!$E$8:$E$33,"&lt;&gt;Xperise",'Kế hoạch triển khai'!$M$8:$M$33,"&lt;&gt;Hoàn thành")</f>
        <v>2</v>
      </c>
      <c r="I20" s="92">
        <f ca="1">COUNTIFS('Kế hoạch triển khai'!$F$8:$F$33,"Kế toán",'Kế hoạch triển khai'!$E$8:$E$33,"&lt;&gt;Xperise",'Kế hoạch triển khai'!$P$8:$P$33,"Quá hạn")</f>
        <v>0</v>
      </c>
    </row>
    <row r="21" spans="2:9" ht="21.75" customHeight="1">
      <c r="G21" s="70" t="s">
        <v>139</v>
      </c>
      <c r="H21" s="87">
        <f>COUNTIFS('Kế hoạch triển khai'!$F$8:$F$33,"Pháp chế",'Kế hoạch triển khai'!$E$8:$E$33,"&lt;&gt;Xperise",'Kế hoạch triển khai'!$M$8:$M$33,"&lt;&gt;Hoàn thành")</f>
        <v>1</v>
      </c>
      <c r="I21" s="92">
        <f ca="1">COUNTIFS('Kế hoạch triển khai'!$F$8:$F$33,"Pháp chế",'Kế hoạch triển khai'!$E$8:$E$33,"&lt;&gt;Xperise",'Kế hoạch triển khai'!$P$8:$P$33,"Quá hạn")</f>
        <v>0</v>
      </c>
    </row>
    <row r="22" spans="2:9" ht="15.75" customHeight="1">
      <c r="G22" s="96" t="s">
        <v>167</v>
      </c>
    </row>
    <row r="23" spans="2:9" ht="15.75" customHeight="1"/>
    <row r="24" spans="2:9" ht="15.75" customHeight="1">
      <c r="B24" s="82" t="s">
        <v>168</v>
      </c>
      <c r="C24" s="83"/>
      <c r="D24" s="83"/>
      <c r="E24" s="83"/>
      <c r="F24" s="83"/>
      <c r="G24" s="83"/>
      <c r="H24" s="83"/>
      <c r="I24" s="83"/>
    </row>
    <row r="25" spans="2:9" ht="25.5" customHeight="1">
      <c r="B25" s="114" t="s">
        <v>22</v>
      </c>
      <c r="C25" s="102"/>
      <c r="D25" s="115"/>
      <c r="E25" s="41" t="s">
        <v>30</v>
      </c>
      <c r="F25" s="97"/>
      <c r="G25" s="41" t="s">
        <v>7</v>
      </c>
      <c r="H25" s="114" t="s">
        <v>31</v>
      </c>
      <c r="I25" s="115"/>
    </row>
    <row r="26" spans="2:9" ht="24" customHeight="1">
      <c r="B26" s="111" t="str">
        <f>'Kế hoạch triển khai'!D8</f>
        <v>Họp khởi động: thống nhất phạm vi và chính sách</v>
      </c>
      <c r="C26" s="112"/>
      <c r="D26" s="113"/>
      <c r="E26" s="87" t="str">
        <f>'Kế hoạch triển khai'!L8</f>
        <v>16/09</v>
      </c>
      <c r="G26" s="56" t="str">
        <f>'Kế hoạch triển khai'!G8</f>
        <v>Nam Á Bank – Hành chính (cùng Xperise)</v>
      </c>
      <c r="H26" s="116" t="s">
        <v>65</v>
      </c>
      <c r="I26" s="113"/>
    </row>
    <row r="27" spans="2:9" ht="24" customHeight="1">
      <c r="B27" s="111" t="str">
        <f>'Kế hoạch triển khai'!D10</f>
        <v>Cung cấp dữ liệu khởi tạo: chính sách công tác và phạm vi người dùng</v>
      </c>
      <c r="C27" s="112"/>
      <c r="D27" s="113"/>
      <c r="E27" s="87" t="str">
        <f>'Kế hoạch triển khai'!L10</f>
        <v>16/09 → 18/09</v>
      </c>
      <c r="G27" s="56" t="str">
        <f>'Kế hoạch triển khai'!G10</f>
        <v>Nam Á Bank – Hành chính</v>
      </c>
      <c r="H27" s="116" t="s">
        <v>169</v>
      </c>
      <c r="I27" s="113"/>
    </row>
    <row r="28" spans="2:9" ht="24" customHeight="1">
      <c r="B28" s="111" t="str">
        <f>'Kế hoạch triển khai'!D13</f>
        <v>Xperise khởi tạo và cấu hình hệ thống</v>
      </c>
      <c r="C28" s="112"/>
      <c r="D28" s="113"/>
      <c r="E28" s="87" t="str">
        <f>'Kế hoạch triển khai'!L13</f>
        <v>19/09 → 21/09</v>
      </c>
      <c r="G28" s="56" t="str">
        <f>'Kế hoạch triển khai'!G13</f>
        <v>Xperise</v>
      </c>
      <c r="H28" s="116" t="str">
        <f>'Kế hoạch triển khai'!M13</f>
        <v>Chưa bắt đầu</v>
      </c>
      <c r="I28" s="113"/>
    </row>
    <row r="29" spans="2:9" ht="24" customHeight="1">
      <c r="B29" s="111" t="str">
        <f>'Kế hoạch triển khai'!D14</f>
        <v>Trình diễn hệ thống và chạy thử tình huống nghiệp vụ</v>
      </c>
      <c r="C29" s="112"/>
      <c r="D29" s="113"/>
      <c r="E29" s="87" t="str">
        <f>'Kế hoạch triển khai'!L14</f>
        <v>22/09 → 23/09</v>
      </c>
      <c r="G29" s="56" t="str">
        <f>'Kế hoạch triển khai'!G14</f>
        <v>Nam Á Bank – Hành chính (cùng Xperise)</v>
      </c>
      <c r="H29" s="116" t="str">
        <f>'Kế hoạch triển khai'!M14</f>
        <v>Chưa bắt đầu</v>
      </c>
      <c r="I29" s="113"/>
    </row>
    <row r="30" spans="2:9" ht="24" customHeight="1">
      <c r="B30" s="111" t="str">
        <f>'Kế hoạch triển khai'!D16</f>
        <v>Ký kết hợp đồng và thống nhất ngày vận hành chính thức</v>
      </c>
      <c r="C30" s="112"/>
      <c r="D30" s="113"/>
      <c r="E30" s="87" t="str">
        <f>'Kế hoạch triển khai'!L16</f>
        <v>24/09 → 25/09</v>
      </c>
      <c r="G30" s="56" t="str">
        <f>'Kế hoạch triển khai'!G16</f>
        <v>Nam Á Bank – Ban lãnh đạo (cùng Xperise)</v>
      </c>
      <c r="H30" s="116" t="s">
        <v>169</v>
      </c>
      <c r="I30" s="113"/>
    </row>
    <row r="31" spans="2:9" ht="24" customHeight="1">
      <c r="B31" s="111" t="str">
        <f>'Kế hoạch triển khai'!D17</f>
        <v>Truyền thông và đào tạo người dùng</v>
      </c>
      <c r="C31" s="112"/>
      <c r="D31" s="113"/>
      <c r="E31" s="87" t="str">
        <f>'Kế hoạch triển khai'!L17</f>
        <v>24/09 → 25/09</v>
      </c>
      <c r="G31" s="56" t="str">
        <f>'Kế hoạch triển khai'!G17</f>
        <v>Nam Á Bank – Hành chính (cùng Xperise)</v>
      </c>
      <c r="H31" s="116" t="str">
        <f>'Kế hoạch triển khai'!M17</f>
        <v>Chưa bắt đầu</v>
      </c>
      <c r="I31" s="113"/>
    </row>
    <row r="32" spans="2:9" ht="24" customHeight="1">
      <c r="B32" s="111" t="str">
        <f>'Kế hoạch triển khai'!D18</f>
        <v>Đưa hệ thống vào vận hành chính thức</v>
      </c>
      <c r="C32" s="112"/>
      <c r="D32" s="113"/>
      <c r="E32" s="87" t="str">
        <f>'Kế hoạch triển khai'!L18</f>
        <v>28/09</v>
      </c>
      <c r="G32" s="56" t="str">
        <f>'Kế hoạch triển khai'!G18</f>
        <v>Nam Á Bank – Hành chính (cùng Xperise)</v>
      </c>
      <c r="H32" s="116" t="str">
        <f>'Kế hoạch triển khai'!M18</f>
        <v>Chưa bắt đầu</v>
      </c>
      <c r="I32" s="113"/>
    </row>
    <row r="33" spans="2:9" ht="15.75" customHeight="1"/>
    <row r="34" spans="2:9" ht="15.75" customHeight="1">
      <c r="B34" s="82" t="s">
        <v>170</v>
      </c>
      <c r="C34" s="83"/>
      <c r="D34" s="83"/>
      <c r="E34" s="83"/>
      <c r="F34" s="83"/>
      <c r="G34" s="83"/>
      <c r="H34" s="83"/>
      <c r="I34" s="83"/>
    </row>
    <row r="35" spans="2:9" ht="19.5" customHeight="1">
      <c r="B35" s="98" t="s">
        <v>1</v>
      </c>
      <c r="C35" s="117" t="s">
        <v>171</v>
      </c>
      <c r="D35" s="107"/>
      <c r="E35" s="107"/>
      <c r="F35" s="107"/>
      <c r="G35" s="107"/>
      <c r="H35" s="107"/>
      <c r="I35" s="107"/>
    </row>
    <row r="36" spans="2:9" ht="19.5" customHeight="1">
      <c r="B36" s="98" t="s">
        <v>0</v>
      </c>
      <c r="C36" s="117" t="s">
        <v>172</v>
      </c>
      <c r="D36" s="107"/>
      <c r="E36" s="107"/>
      <c r="F36" s="107"/>
      <c r="G36" s="107"/>
      <c r="H36" s="107"/>
      <c r="I36" s="107"/>
    </row>
    <row r="37" spans="2:9" ht="19.5" customHeight="1">
      <c r="B37" s="98" t="s">
        <v>2</v>
      </c>
      <c r="C37" s="117" t="s">
        <v>173</v>
      </c>
      <c r="D37" s="107"/>
      <c r="E37" s="107"/>
      <c r="F37" s="107"/>
      <c r="G37" s="107"/>
      <c r="H37" s="107"/>
      <c r="I37" s="107"/>
    </row>
    <row r="38" spans="2:9" ht="19.5" customHeight="1">
      <c r="B38" s="98" t="s">
        <v>174</v>
      </c>
      <c r="C38" s="117" t="s">
        <v>175</v>
      </c>
      <c r="D38" s="107"/>
      <c r="E38" s="107"/>
      <c r="F38" s="107"/>
      <c r="G38" s="107"/>
      <c r="H38" s="107"/>
      <c r="I38" s="107"/>
    </row>
    <row r="39" spans="2:9" ht="19.5" customHeight="1">
      <c r="B39" s="98" t="s">
        <v>176</v>
      </c>
      <c r="C39" s="117" t="s">
        <v>177</v>
      </c>
      <c r="D39" s="107"/>
      <c r="E39" s="107"/>
      <c r="F39" s="107"/>
      <c r="G39" s="107"/>
      <c r="H39" s="107"/>
      <c r="I39" s="107"/>
    </row>
    <row r="40" spans="2:9" ht="19.5" customHeight="1">
      <c r="B40" s="98" t="s">
        <v>178</v>
      </c>
      <c r="C40" s="117" t="s">
        <v>179</v>
      </c>
      <c r="D40" s="107"/>
      <c r="E40" s="107"/>
      <c r="F40" s="107"/>
      <c r="G40" s="107"/>
      <c r="H40" s="107"/>
      <c r="I40" s="107"/>
    </row>
    <row r="41" spans="2:9" ht="19.5" customHeight="1">
      <c r="B41" s="98" t="s">
        <v>180</v>
      </c>
      <c r="C41" s="117" t="s">
        <v>181</v>
      </c>
      <c r="D41" s="107"/>
      <c r="E41" s="107"/>
      <c r="F41" s="107"/>
      <c r="G41" s="107"/>
      <c r="H41" s="107"/>
      <c r="I41" s="107"/>
    </row>
    <row r="42" spans="2:9" ht="19.5" customHeight="1">
      <c r="B42" s="98" t="s">
        <v>182</v>
      </c>
      <c r="C42" s="117" t="s">
        <v>183</v>
      </c>
      <c r="D42" s="107"/>
      <c r="E42" s="107"/>
      <c r="F42" s="107"/>
      <c r="G42" s="107"/>
      <c r="H42" s="107"/>
      <c r="I42" s="107"/>
    </row>
    <row r="43" spans="2:9" ht="19.5" customHeight="1">
      <c r="B43" s="98" t="s">
        <v>184</v>
      </c>
      <c r="C43" s="117" t="s">
        <v>185</v>
      </c>
      <c r="D43" s="107"/>
      <c r="E43" s="107"/>
      <c r="F43" s="107"/>
      <c r="G43" s="107"/>
      <c r="H43" s="107"/>
      <c r="I43" s="107"/>
    </row>
    <row r="44" spans="2:9" ht="15.75" customHeight="1"/>
    <row r="45" spans="2:9" ht="15.75" customHeight="1">
      <c r="B45" s="28"/>
      <c r="C45" s="32" t="s">
        <v>186</v>
      </c>
    </row>
    <row r="46" spans="2:9" ht="15.75" customHeight="1"/>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2:I42"/>
    <mergeCell ref="C43:I43"/>
    <mergeCell ref="H29:I29"/>
    <mergeCell ref="H30:I30"/>
    <mergeCell ref="H31:I31"/>
    <mergeCell ref="H32:I32"/>
    <mergeCell ref="C35:I35"/>
    <mergeCell ref="C36:I36"/>
    <mergeCell ref="C37:I37"/>
    <mergeCell ref="H28:I28"/>
    <mergeCell ref="C38:I38"/>
    <mergeCell ref="C39:I39"/>
    <mergeCell ref="C40:I40"/>
    <mergeCell ref="C41:I41"/>
    <mergeCell ref="B25:D25"/>
    <mergeCell ref="H25:I25"/>
    <mergeCell ref="B26:D26"/>
    <mergeCell ref="H26:I26"/>
    <mergeCell ref="B27:D27"/>
    <mergeCell ref="H27:I27"/>
    <mergeCell ref="B28:D28"/>
    <mergeCell ref="B29:D29"/>
    <mergeCell ref="B30:D30"/>
    <mergeCell ref="B31:D31"/>
    <mergeCell ref="B32:D32"/>
    <mergeCell ref="G11:I11"/>
    <mergeCell ref="G12:I12"/>
    <mergeCell ref="H6:I6"/>
    <mergeCell ref="B7:E7"/>
    <mergeCell ref="G7:I7"/>
    <mergeCell ref="D10:E10"/>
    <mergeCell ref="G10:I10"/>
    <mergeCell ref="D11:E11"/>
    <mergeCell ref="D12:E12"/>
  </mergeCells>
  <conditionalFormatting sqref="H26:H32">
    <cfRule type="expression" dxfId="49" priority="1">
      <formula>H26="Chưa bắt đầu"</formula>
    </cfRule>
  </conditionalFormatting>
  <conditionalFormatting sqref="H26:H32">
    <cfRule type="expression" dxfId="48" priority="2">
      <formula>H26="Đang làm"</formula>
    </cfRule>
  </conditionalFormatting>
  <conditionalFormatting sqref="H26:H32">
    <cfRule type="expression" dxfId="47" priority="3">
      <formula>H26="Hoàn thành"</formula>
    </cfRule>
  </conditionalFormatting>
  <conditionalFormatting sqref="H26:H32">
    <cfRule type="expression" dxfId="46" priority="4">
      <formula>H26="Vướng mắc"</formula>
    </cfRule>
  </conditionalFormatting>
  <conditionalFormatting sqref="H26:H32">
    <cfRule type="expression" dxfId="45" priority="5">
      <formula>H26="Đang chờ"</formula>
    </cfRule>
  </conditionalFormatting>
  <conditionalFormatting sqref="H26:H32">
    <cfRule type="expression" dxfId="44" priority="6">
      <formula>H26="Đã gửi"</formula>
    </cfRule>
  </conditionalFormatting>
  <conditionalFormatting sqref="H26:H32">
    <cfRule type="expression" dxfId="43" priority="7">
      <formula>H26="Đã nhận"</formula>
    </cfRule>
  </conditionalFormatting>
  <conditionalFormatting sqref="H26:H32">
    <cfRule type="expression" dxfId="42" priority="8">
      <formula>H26="Không áp dụng"</formula>
    </cfRule>
  </conditionalFormatting>
  <conditionalFormatting sqref="H26:H32">
    <cfRule type="expression" dxfId="41" priority="9">
      <formula>H26="Chưa gửi"</formula>
    </cfRule>
  </conditionalFormatting>
  <conditionalFormatting sqref="H26:H32">
    <cfRule type="expression" dxfId="40" priority="10">
      <formula>H26="Đã xác nhận"</formula>
    </cfRule>
  </conditionalFormatting>
  <conditionalFormatting sqref="H26:H32">
    <cfRule type="expression" dxfId="39" priority="11">
      <formula>H26="Có"</formula>
    </cfRule>
  </conditionalFormatting>
  <conditionalFormatting sqref="H26:H32">
    <cfRule type="expression" dxfId="38" priority="12">
      <formula>H26="Không"</formula>
    </cfRule>
  </conditionalFormatting>
  <conditionalFormatting sqref="H26:H32">
    <cfRule type="expression" dxfId="37" priority="13">
      <formula>H26="Chưa rõ"</formula>
    </cfRule>
  </conditionalFormatting>
  <conditionalFormatting sqref="H26:H32">
    <cfRule type="expression" dxfId="36" priority="14">
      <formula>H26="Bắt buộc"</formula>
    </cfRule>
  </conditionalFormatting>
  <conditionalFormatting sqref="H26:H32">
    <cfRule type="expression" dxfId="35" priority="15">
      <formula>H26="Mong muốn"</formula>
    </cfRule>
  </conditionalFormatting>
  <conditionalFormatting sqref="H26:H32">
    <cfRule type="expression" dxfId="34" priority="16">
      <formula>H26="Tham khảo"</formula>
    </cfRule>
  </conditionalFormatting>
  <dataValidations count="1">
    <dataValidation type="date" operator="greaterThan" allowBlank="1" showInputMessage="1" prompt="Hướng dẫn - Nhập ngày vận hành chính thức (dd/mm/yyyy)." sqref="H6">
      <formula1>36526</formula1>
    </dataValidation>
  </dataValidations>
  <hyperlinks>
    <hyperlink ref="B35" r:id="rId1" location="'Kế%20hoạch%20triển%20khai'!A1"/>
    <hyperlink ref="B36" r:id="rId2" location="'Sơ%20đồ%20phối%20hợp'!A1"/>
    <hyperlink ref="B37" r:id="rId3" location="'Lịch%20triển%20khai'!A1"/>
    <hyperlink ref="B38" r:id="rId4" location="'Dữ%20liệu%20&amp;%20chính%20sách'!A1"/>
    <hyperlink ref="B39" r:id="rId5" location="'Quy%20trình%20hoá%20đơn'!A1"/>
    <hyperlink ref="B40" r:id="rId6" location="'Đối%20soát%20&amp;%20thanh%20toán'!A1"/>
    <hyperlink ref="B41" r:id="rId7" location="'Cơ%20sở%20lưu%20trú%20&amp;%20giá'!A1"/>
    <hyperlink ref="B42" r:id="rId8" location="'Tài%20liệu'!A1"/>
    <hyperlink ref="B43" r:id="rId9" location="'Nội%20dung%20thống%20nhất'!A1"/>
  </hyperlinks>
  <printOptions horizontalCentered="1"/>
  <pageMargins left="0.4" right="0.4" top="1" bottom="1" header="0" footer="0"/>
  <pageSetup fitToHeight="0" orientation="landscape"/>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041FF"/>
    <pageSetUpPr fitToPage="1"/>
  </sheetPr>
  <dimension ref="B1:P1000"/>
  <sheetViews>
    <sheetView showGridLines="0" topLeftCell="A43" workbookViewId="0">
      <selection activeCell="H11" sqref="H11"/>
    </sheetView>
  </sheetViews>
  <sheetFormatPr defaultColWidth="14.44140625" defaultRowHeight="15" customHeight="1"/>
  <cols>
    <col min="1" max="1" width="2.44140625" customWidth="1"/>
    <col min="2" max="2" width="7" customWidth="1"/>
    <col min="3" max="3" width="21" customWidth="1"/>
    <col min="4" max="4" width="46" customWidth="1"/>
    <col min="5" max="6" width="13" customWidth="1"/>
    <col min="7" max="7" width="21.33203125" customWidth="1"/>
    <col min="8" max="8" width="11" customWidth="1"/>
    <col min="9" max="9" width="15" customWidth="1"/>
    <col min="10" max="11" width="12" customWidth="1"/>
    <col min="12" max="12" width="17" customWidth="1"/>
    <col min="13" max="13" width="15" customWidth="1"/>
    <col min="14" max="14" width="18" customWidth="1"/>
    <col min="15" max="15" width="34" customWidth="1"/>
    <col min="16" max="16" width="11" customWidth="1"/>
    <col min="17" max="26" width="8.6640625" customWidth="1"/>
  </cols>
  <sheetData>
    <row r="1" spans="2:16" ht="9.75" customHeight="1"/>
    <row r="2" spans="2:16" ht="31.5" customHeight="1">
      <c r="B2" s="1" t="s">
        <v>1</v>
      </c>
    </row>
    <row r="3" spans="2:16" ht="21" customHeight="1">
      <c r="B3" s="118" t="s">
        <v>4</v>
      </c>
      <c r="C3" s="107"/>
      <c r="D3" s="107"/>
      <c r="E3" s="107"/>
      <c r="F3" s="107"/>
      <c r="G3" s="107"/>
      <c r="H3" s="107"/>
      <c r="I3" s="107"/>
      <c r="J3" s="107"/>
      <c r="K3" s="107"/>
      <c r="L3" s="107"/>
      <c r="M3" s="107"/>
      <c r="N3" s="107"/>
      <c r="O3" s="107"/>
      <c r="P3" s="107"/>
    </row>
    <row r="4" spans="2:16" ht="3.75" customHeight="1">
      <c r="B4" s="3"/>
      <c r="C4" s="4"/>
      <c r="D4" s="5"/>
      <c r="E4" s="6"/>
      <c r="F4" s="7"/>
      <c r="G4" s="11"/>
      <c r="H4" s="12"/>
      <c r="I4" s="17"/>
      <c r="J4" s="18"/>
      <c r="K4" s="21"/>
      <c r="L4" s="19"/>
      <c r="M4" s="15"/>
      <c r="N4" s="20"/>
      <c r="O4" s="24"/>
      <c r="P4" s="16"/>
    </row>
    <row r="5" spans="2:16" ht="14.4">
      <c r="B5" s="28"/>
      <c r="C5" s="32" t="s">
        <v>12</v>
      </c>
    </row>
    <row r="7" spans="2:16" ht="30" customHeight="1">
      <c r="B7" s="36" t="s">
        <v>15</v>
      </c>
      <c r="C7" s="41" t="s">
        <v>20</v>
      </c>
      <c r="D7" s="41" t="s">
        <v>22</v>
      </c>
      <c r="E7" s="41" t="s">
        <v>24</v>
      </c>
      <c r="F7" s="41" t="s">
        <v>25</v>
      </c>
      <c r="G7" s="41" t="s">
        <v>7</v>
      </c>
      <c r="H7" s="36" t="s">
        <v>26</v>
      </c>
      <c r="I7" s="41" t="s">
        <v>27</v>
      </c>
      <c r="J7" s="41" t="s">
        <v>28</v>
      </c>
      <c r="K7" s="41" t="s">
        <v>29</v>
      </c>
      <c r="L7" s="41" t="s">
        <v>30</v>
      </c>
      <c r="M7" s="41" t="s">
        <v>31</v>
      </c>
      <c r="N7" s="41" t="s">
        <v>32</v>
      </c>
      <c r="O7" s="41" t="s">
        <v>33</v>
      </c>
      <c r="P7" s="36" t="s">
        <v>34</v>
      </c>
    </row>
    <row r="8" spans="2:16" ht="33.75" customHeight="1">
      <c r="B8" s="43">
        <f t="shared" ref="B8:B33" si="0">IF(D8="","",ROW()-7)</f>
        <v>1</v>
      </c>
      <c r="C8" s="44" t="s">
        <v>36</v>
      </c>
      <c r="D8" s="48" t="s">
        <v>37</v>
      </c>
      <c r="E8" s="44" t="s">
        <v>39</v>
      </c>
      <c r="F8" s="50" t="s">
        <v>40</v>
      </c>
      <c r="G8" s="56" t="str">
        <f t="shared" ref="G8:G33" si="1">IF(D8="","",IF(E8="Xperise","Xperise",IF(E8="Nam Á Bank",IF(OR(F8="",F8="—"),"Nam Á Bank","Nam Á Bank – "&amp;F8),IF(OR(F8="",F8="—"),"Hai bên","Nam Á Bank – "&amp;F8&amp;" (cùng Xperise)"))))</f>
        <v>Nam Á Bank – Hành chính (cùng Xperise)</v>
      </c>
      <c r="H8" s="58" t="s">
        <v>53</v>
      </c>
      <c r="I8" s="61" t="s">
        <v>54</v>
      </c>
      <c r="J8" s="63">
        <v>46281</v>
      </c>
      <c r="K8" s="63">
        <v>46281</v>
      </c>
      <c r="L8" s="70" t="str">
        <f t="shared" ref="L8:L33" si="2">IF(J8="","",IF(I8="Từ ngày trở đi","Từ "&amp;TEXT(DAY(J8),"00")&amp;"/"&amp;TEXT(MONTH(J8),"00")&amp;" trở đi",IF(I8="Sau ngày","Sau "&amp;TEXT(DAY(J8),"00")&amp;"/"&amp;TEXT(MONTH(J8),"00"),IF(OR(K8="",K8=J8),TEXT(DAY(J8),"00")&amp;"/"&amp;TEXT(MONTH(J8),"00"),TEXT(DAY(J8),"00")&amp;"/"&amp;TEXT(MONTH(J8),"00")&amp;" → "&amp;TEXT(DAY(K8),"00")&amp;"/"&amp;TEXT(MONTH(K8),"00")))))</f>
        <v>16/09</v>
      </c>
      <c r="M8" s="73" t="s">
        <v>65</v>
      </c>
      <c r="N8" s="44"/>
      <c r="O8" s="74" t="s">
        <v>69</v>
      </c>
      <c r="P8" s="76"/>
    </row>
    <row r="9" spans="2:16" ht="33.75" customHeight="1">
      <c r="B9" s="43">
        <f t="shared" si="0"/>
        <v>2</v>
      </c>
      <c r="C9" s="44" t="s">
        <v>71</v>
      </c>
      <c r="D9" s="48" t="s">
        <v>72</v>
      </c>
      <c r="E9" s="44" t="s">
        <v>73</v>
      </c>
      <c r="F9" s="50" t="s">
        <v>74</v>
      </c>
      <c r="G9" s="56" t="str">
        <f t="shared" si="1"/>
        <v>Xperise</v>
      </c>
      <c r="H9" s="58"/>
      <c r="I9" s="61" t="s">
        <v>54</v>
      </c>
      <c r="J9" s="63">
        <v>46282</v>
      </c>
      <c r="K9" s="63">
        <v>46282</v>
      </c>
      <c r="L9" s="70" t="str">
        <f t="shared" si="2"/>
        <v>17/09</v>
      </c>
      <c r="M9" s="73" t="s">
        <v>65</v>
      </c>
      <c r="N9" s="44"/>
      <c r="O9" s="74" t="s">
        <v>76</v>
      </c>
      <c r="P9" s="76" t="str">
        <f t="shared" ref="P9:P33" ca="1" si="3">IF(AND(D9&lt;&gt;"",M9&lt;&gt;"Hoàn thành",ISNUMBER(K9)),IF(K9&lt;TODAY(),"Quá hạn",""),"")</f>
        <v/>
      </c>
    </row>
    <row r="10" spans="2:16" ht="33.75" customHeight="1">
      <c r="B10" s="43">
        <f t="shared" si="0"/>
        <v>3</v>
      </c>
      <c r="C10" s="44" t="s">
        <v>71</v>
      </c>
      <c r="D10" s="48" t="s">
        <v>79</v>
      </c>
      <c r="E10" s="44" t="s">
        <v>80</v>
      </c>
      <c r="F10" s="50" t="s">
        <v>40</v>
      </c>
      <c r="G10" s="56" t="str">
        <f t="shared" si="1"/>
        <v>Nam Á Bank – Hành chính</v>
      </c>
      <c r="H10" s="58" t="s">
        <v>53</v>
      </c>
      <c r="I10" s="61" t="s">
        <v>54</v>
      </c>
      <c r="J10" s="63">
        <v>46281</v>
      </c>
      <c r="K10" s="63">
        <v>46283</v>
      </c>
      <c r="L10" s="70" t="str">
        <f t="shared" si="2"/>
        <v>16/09 → 18/09</v>
      </c>
      <c r="M10" s="73" t="s">
        <v>81</v>
      </c>
      <c r="N10" s="44"/>
      <c r="O10" s="74" t="s">
        <v>83</v>
      </c>
      <c r="P10" s="76" t="str">
        <f t="shared" ca="1" si="3"/>
        <v/>
      </c>
    </row>
    <row r="11" spans="2:16" ht="33.75" customHeight="1">
      <c r="B11" s="43">
        <f t="shared" si="0"/>
        <v>4</v>
      </c>
      <c r="C11" s="44" t="s">
        <v>71</v>
      </c>
      <c r="D11" s="48" t="s">
        <v>85</v>
      </c>
      <c r="E11" s="44" t="s">
        <v>39</v>
      </c>
      <c r="F11" s="44" t="s">
        <v>86</v>
      </c>
      <c r="G11" s="56" t="str">
        <f t="shared" si="1"/>
        <v>Nam Á Bank – Pháp chế (cùng Xperise)</v>
      </c>
      <c r="H11" s="58"/>
      <c r="I11" s="61" t="s">
        <v>54</v>
      </c>
      <c r="J11" s="63">
        <v>46281</v>
      </c>
      <c r="K11" s="63">
        <v>46288</v>
      </c>
      <c r="L11" s="70" t="str">
        <f t="shared" si="2"/>
        <v>16/09 → 23/09</v>
      </c>
      <c r="M11" s="73" t="s">
        <v>81</v>
      </c>
      <c r="N11" s="44"/>
      <c r="O11" s="74" t="s">
        <v>87</v>
      </c>
      <c r="P11" s="76" t="str">
        <f t="shared" ca="1" si="3"/>
        <v/>
      </c>
    </row>
    <row r="12" spans="2:16" ht="33.75" customHeight="1">
      <c r="B12" s="43">
        <f t="shared" si="0"/>
        <v>5</v>
      </c>
      <c r="C12" s="44" t="s">
        <v>71</v>
      </c>
      <c r="D12" s="48" t="s">
        <v>88</v>
      </c>
      <c r="E12" s="44" t="s">
        <v>73</v>
      </c>
      <c r="F12" s="50" t="s">
        <v>74</v>
      </c>
      <c r="G12" s="56" t="str">
        <f t="shared" si="1"/>
        <v>Xperise</v>
      </c>
      <c r="H12" s="58"/>
      <c r="I12" s="61" t="s">
        <v>54</v>
      </c>
      <c r="J12" s="63">
        <v>46283</v>
      </c>
      <c r="K12" s="63">
        <v>46283</v>
      </c>
      <c r="L12" s="70" t="str">
        <f t="shared" si="2"/>
        <v>18/09</v>
      </c>
      <c r="M12" s="73" t="s">
        <v>81</v>
      </c>
      <c r="N12" s="44"/>
      <c r="O12" s="74"/>
      <c r="P12" s="76" t="str">
        <f t="shared" ca="1" si="3"/>
        <v/>
      </c>
    </row>
    <row r="13" spans="2:16" ht="33.75" customHeight="1">
      <c r="B13" s="43">
        <f t="shared" si="0"/>
        <v>6</v>
      </c>
      <c r="C13" s="44" t="s">
        <v>71</v>
      </c>
      <c r="D13" s="48" t="s">
        <v>89</v>
      </c>
      <c r="E13" s="44" t="s">
        <v>73</v>
      </c>
      <c r="F13" s="50" t="s">
        <v>74</v>
      </c>
      <c r="G13" s="56" t="str">
        <f t="shared" si="1"/>
        <v>Xperise</v>
      </c>
      <c r="H13" s="58" t="s">
        <v>53</v>
      </c>
      <c r="I13" s="61" t="s">
        <v>54</v>
      </c>
      <c r="J13" s="63">
        <v>46284</v>
      </c>
      <c r="K13" s="63">
        <v>46286</v>
      </c>
      <c r="L13" s="70" t="str">
        <f t="shared" si="2"/>
        <v>19/09 → 21/09</v>
      </c>
      <c r="M13" s="85" t="s">
        <v>92</v>
      </c>
      <c r="N13" s="44"/>
      <c r="O13" s="74" t="s">
        <v>102</v>
      </c>
      <c r="P13" s="76" t="str">
        <f t="shared" ca="1" si="3"/>
        <v/>
      </c>
    </row>
    <row r="14" spans="2:16" ht="33.75" customHeight="1">
      <c r="B14" s="43">
        <f t="shared" si="0"/>
        <v>7</v>
      </c>
      <c r="C14" s="44" t="s">
        <v>103</v>
      </c>
      <c r="D14" s="48" t="s">
        <v>104</v>
      </c>
      <c r="E14" s="44" t="s">
        <v>39</v>
      </c>
      <c r="F14" s="50" t="s">
        <v>40</v>
      </c>
      <c r="G14" s="56" t="str">
        <f t="shared" si="1"/>
        <v>Nam Á Bank – Hành chính (cùng Xperise)</v>
      </c>
      <c r="H14" s="58" t="s">
        <v>53</v>
      </c>
      <c r="I14" s="61" t="s">
        <v>54</v>
      </c>
      <c r="J14" s="63">
        <v>46287</v>
      </c>
      <c r="K14" s="63">
        <v>46288</v>
      </c>
      <c r="L14" s="70" t="str">
        <f t="shared" si="2"/>
        <v>22/09 → 23/09</v>
      </c>
      <c r="M14" s="85" t="s">
        <v>92</v>
      </c>
      <c r="N14" s="44"/>
      <c r="O14" s="74"/>
      <c r="P14" s="76" t="str">
        <f t="shared" ca="1" si="3"/>
        <v/>
      </c>
    </row>
    <row r="15" spans="2:16" ht="33.75" customHeight="1">
      <c r="B15" s="43">
        <f t="shared" si="0"/>
        <v>8</v>
      </c>
      <c r="C15" s="44" t="s">
        <v>103</v>
      </c>
      <c r="D15" s="48" t="s">
        <v>108</v>
      </c>
      <c r="E15" s="44" t="s">
        <v>39</v>
      </c>
      <c r="F15" s="50" t="s">
        <v>110</v>
      </c>
      <c r="G15" s="56" t="str">
        <f t="shared" si="1"/>
        <v>Nam Á Bank – Kế toán (cùng Xperise)</v>
      </c>
      <c r="H15" s="58"/>
      <c r="I15" s="61" t="s">
        <v>54</v>
      </c>
      <c r="J15" s="63">
        <v>46287</v>
      </c>
      <c r="K15" s="63">
        <v>46288</v>
      </c>
      <c r="L15" s="70" t="str">
        <f t="shared" si="2"/>
        <v>22/09 → 23/09</v>
      </c>
      <c r="M15" s="85" t="s">
        <v>92</v>
      </c>
      <c r="N15" s="44"/>
      <c r="O15" s="74" t="s">
        <v>76</v>
      </c>
      <c r="P15" s="76" t="str">
        <f t="shared" ca="1" si="3"/>
        <v/>
      </c>
    </row>
    <row r="16" spans="2:16" ht="33.75" customHeight="1">
      <c r="B16" s="43">
        <f t="shared" si="0"/>
        <v>9</v>
      </c>
      <c r="C16" s="44" t="s">
        <v>113</v>
      </c>
      <c r="D16" s="48" t="s">
        <v>114</v>
      </c>
      <c r="E16" s="44" t="s">
        <v>39</v>
      </c>
      <c r="F16" s="50" t="s">
        <v>115</v>
      </c>
      <c r="G16" s="56" t="str">
        <f t="shared" si="1"/>
        <v>Nam Á Bank – Ban lãnh đạo (cùng Xperise)</v>
      </c>
      <c r="H16" s="58" t="s">
        <v>53</v>
      </c>
      <c r="I16" s="61" t="s">
        <v>54</v>
      </c>
      <c r="J16" s="63">
        <v>46289</v>
      </c>
      <c r="K16" s="63">
        <v>46290</v>
      </c>
      <c r="L16" s="70" t="str">
        <f t="shared" si="2"/>
        <v>24/09 → 25/09</v>
      </c>
      <c r="M16" s="85" t="s">
        <v>92</v>
      </c>
      <c r="N16" s="44"/>
      <c r="O16" s="74"/>
      <c r="P16" s="76" t="str">
        <f t="shared" ca="1" si="3"/>
        <v/>
      </c>
    </row>
    <row r="17" spans="2:16" ht="33.75" customHeight="1">
      <c r="B17" s="43">
        <f t="shared" si="0"/>
        <v>10</v>
      </c>
      <c r="C17" s="44" t="s">
        <v>113</v>
      </c>
      <c r="D17" s="48" t="s">
        <v>119</v>
      </c>
      <c r="E17" s="44" t="s">
        <v>39</v>
      </c>
      <c r="F17" s="50" t="s">
        <v>40</v>
      </c>
      <c r="G17" s="56" t="str">
        <f t="shared" si="1"/>
        <v>Nam Á Bank – Hành chính (cùng Xperise)</v>
      </c>
      <c r="H17" s="58" t="s">
        <v>53</v>
      </c>
      <c r="I17" s="61" t="s">
        <v>54</v>
      </c>
      <c r="J17" s="63">
        <v>46289</v>
      </c>
      <c r="K17" s="63">
        <v>46290</v>
      </c>
      <c r="L17" s="70" t="str">
        <f t="shared" si="2"/>
        <v>24/09 → 25/09</v>
      </c>
      <c r="M17" s="85" t="s">
        <v>92</v>
      </c>
      <c r="N17" s="44"/>
      <c r="O17" s="74" t="s">
        <v>124</v>
      </c>
      <c r="P17" s="76" t="str">
        <f t="shared" ca="1" si="3"/>
        <v/>
      </c>
    </row>
    <row r="18" spans="2:16" ht="33.75" customHeight="1">
      <c r="B18" s="43">
        <f t="shared" si="0"/>
        <v>11</v>
      </c>
      <c r="C18" s="44" t="s">
        <v>129</v>
      </c>
      <c r="D18" s="48" t="s">
        <v>130</v>
      </c>
      <c r="E18" s="44" t="s">
        <v>39</v>
      </c>
      <c r="F18" s="50" t="s">
        <v>40</v>
      </c>
      <c r="G18" s="56" t="str">
        <f t="shared" si="1"/>
        <v>Nam Á Bank – Hành chính (cùng Xperise)</v>
      </c>
      <c r="H18" s="58" t="s">
        <v>53</v>
      </c>
      <c r="I18" s="61" t="s">
        <v>54</v>
      </c>
      <c r="J18" s="63">
        <v>46293</v>
      </c>
      <c r="K18" s="63">
        <v>46293</v>
      </c>
      <c r="L18" s="70" t="str">
        <f t="shared" si="2"/>
        <v>28/09</v>
      </c>
      <c r="M18" s="85" t="s">
        <v>92</v>
      </c>
      <c r="N18" s="44"/>
      <c r="O18" s="74"/>
      <c r="P18" s="76" t="str">
        <f t="shared" ca="1" si="3"/>
        <v/>
      </c>
    </row>
    <row r="19" spans="2:16" ht="33.75" customHeight="1">
      <c r="B19" s="43">
        <f t="shared" si="0"/>
        <v>12</v>
      </c>
      <c r="C19" s="44" t="s">
        <v>129</v>
      </c>
      <c r="D19" s="48" t="s">
        <v>140</v>
      </c>
      <c r="E19" s="44" t="s">
        <v>73</v>
      </c>
      <c r="F19" s="50" t="s">
        <v>74</v>
      </c>
      <c r="G19" s="56" t="str">
        <f t="shared" si="1"/>
        <v>Xperise</v>
      </c>
      <c r="H19" s="58"/>
      <c r="I19" s="61" t="s">
        <v>143</v>
      </c>
      <c r="J19" s="63">
        <v>46293</v>
      </c>
      <c r="K19" s="63"/>
      <c r="L19" s="70" t="str">
        <f t="shared" si="2"/>
        <v>Từ 28/09 trở đi</v>
      </c>
      <c r="M19" s="85" t="s">
        <v>92</v>
      </c>
      <c r="N19" s="44"/>
      <c r="O19" s="74" t="s">
        <v>144</v>
      </c>
      <c r="P19" s="76" t="str">
        <f t="shared" ca="1" si="3"/>
        <v/>
      </c>
    </row>
    <row r="20" spans="2:16" ht="33.75" customHeight="1">
      <c r="B20" s="43">
        <f t="shared" si="0"/>
        <v>13</v>
      </c>
      <c r="C20" s="44" t="s">
        <v>129</v>
      </c>
      <c r="D20" s="48" t="s">
        <v>118</v>
      </c>
      <c r="E20" s="44" t="s">
        <v>80</v>
      </c>
      <c r="F20" s="44" t="s">
        <v>40</v>
      </c>
      <c r="G20" s="56" t="str">
        <f t="shared" si="1"/>
        <v>Nam Á Bank – Hành chính</v>
      </c>
      <c r="H20" s="58"/>
      <c r="I20" s="61" t="s">
        <v>147</v>
      </c>
      <c r="J20" s="63">
        <v>46293</v>
      </c>
      <c r="K20" s="63"/>
      <c r="L20" s="70" t="str">
        <f t="shared" si="2"/>
        <v>Sau 28/09</v>
      </c>
      <c r="M20" s="85" t="s">
        <v>92</v>
      </c>
      <c r="N20" s="44"/>
      <c r="O20" s="74" t="s">
        <v>76</v>
      </c>
      <c r="P20" s="76" t="str">
        <f t="shared" ca="1" si="3"/>
        <v/>
      </c>
    </row>
    <row r="21" spans="2:16" ht="33.75" customHeight="1">
      <c r="B21" s="43">
        <f t="shared" si="0"/>
        <v>14</v>
      </c>
      <c r="C21" s="44" t="s">
        <v>129</v>
      </c>
      <c r="D21" s="48" t="s">
        <v>138</v>
      </c>
      <c r="E21" s="44" t="s">
        <v>39</v>
      </c>
      <c r="F21" s="44" t="s">
        <v>110</v>
      </c>
      <c r="G21" s="56" t="str">
        <f t="shared" si="1"/>
        <v>Nam Á Bank – Kế toán (cùng Xperise)</v>
      </c>
      <c r="H21" s="58"/>
      <c r="I21" s="61" t="s">
        <v>54</v>
      </c>
      <c r="J21" s="63">
        <v>46296</v>
      </c>
      <c r="K21" s="63">
        <v>46299</v>
      </c>
      <c r="L21" s="70" t="str">
        <f t="shared" si="2"/>
        <v>01/10 → 04/10</v>
      </c>
      <c r="M21" s="85" t="s">
        <v>92</v>
      </c>
      <c r="N21" s="44"/>
      <c r="O21" s="74" t="s">
        <v>152</v>
      </c>
      <c r="P21" s="76" t="str">
        <f t="shared" ca="1" si="3"/>
        <v/>
      </c>
    </row>
    <row r="22" spans="2:16" ht="48" customHeight="1">
      <c r="B22" s="43">
        <f t="shared" si="0"/>
        <v>15</v>
      </c>
      <c r="C22" s="44" t="s">
        <v>129</v>
      </c>
      <c r="D22" s="48" t="s">
        <v>122</v>
      </c>
      <c r="E22" s="44" t="s">
        <v>80</v>
      </c>
      <c r="F22" s="44" t="s">
        <v>40</v>
      </c>
      <c r="G22" s="56" t="str">
        <f t="shared" si="1"/>
        <v>Nam Á Bank – Hành chính</v>
      </c>
      <c r="H22" s="58"/>
      <c r="I22" s="61" t="s">
        <v>147</v>
      </c>
      <c r="J22" s="63">
        <v>46293</v>
      </c>
      <c r="K22" s="63"/>
      <c r="L22" s="70" t="str">
        <f t="shared" si="2"/>
        <v>Sau 28/09</v>
      </c>
      <c r="M22" s="85" t="s">
        <v>92</v>
      </c>
      <c r="N22" s="44"/>
      <c r="O22" s="74" t="s">
        <v>159</v>
      </c>
      <c r="P22" s="76" t="str">
        <f t="shared" ca="1" si="3"/>
        <v/>
      </c>
    </row>
    <row r="23" spans="2:16" ht="33.75" customHeight="1">
      <c r="B23" s="43">
        <f t="shared" si="0"/>
        <v>16</v>
      </c>
      <c r="C23" s="44" t="s">
        <v>129</v>
      </c>
      <c r="D23" s="48" t="s">
        <v>161</v>
      </c>
      <c r="E23" s="44" t="s">
        <v>73</v>
      </c>
      <c r="F23" s="50" t="s">
        <v>74</v>
      </c>
      <c r="G23" s="56" t="str">
        <f t="shared" si="1"/>
        <v>Xperise</v>
      </c>
      <c r="H23" s="58"/>
      <c r="I23" s="61" t="s">
        <v>54</v>
      </c>
      <c r="J23" s="63">
        <v>46293</v>
      </c>
      <c r="K23" s="63">
        <v>46293</v>
      </c>
      <c r="L23" s="70" t="str">
        <f t="shared" si="2"/>
        <v>28/09</v>
      </c>
      <c r="M23" s="85" t="s">
        <v>92</v>
      </c>
      <c r="N23" s="44"/>
      <c r="O23" s="74" t="s">
        <v>76</v>
      </c>
      <c r="P23" s="76" t="str">
        <f t="shared" ca="1" si="3"/>
        <v/>
      </c>
    </row>
    <row r="24" spans="2:16" ht="24" customHeight="1">
      <c r="B24" s="43" t="str">
        <f t="shared" si="0"/>
        <v/>
      </c>
      <c r="C24" s="44"/>
      <c r="D24" s="48"/>
      <c r="E24" s="44"/>
      <c r="F24" s="44"/>
      <c r="G24" s="56" t="str">
        <f t="shared" si="1"/>
        <v/>
      </c>
      <c r="H24" s="58"/>
      <c r="I24" s="61"/>
      <c r="J24" s="63"/>
      <c r="K24" s="63"/>
      <c r="L24" s="70" t="str">
        <f t="shared" si="2"/>
        <v/>
      </c>
      <c r="M24" s="85"/>
      <c r="N24" s="44"/>
      <c r="O24" s="74"/>
      <c r="P24" s="76" t="str">
        <f t="shared" ca="1" si="3"/>
        <v/>
      </c>
    </row>
    <row r="25" spans="2:16" ht="24" customHeight="1">
      <c r="B25" s="43" t="str">
        <f t="shared" si="0"/>
        <v/>
      </c>
      <c r="C25" s="44"/>
      <c r="D25" s="48"/>
      <c r="E25" s="44"/>
      <c r="F25" s="44"/>
      <c r="G25" s="56" t="str">
        <f t="shared" si="1"/>
        <v/>
      </c>
      <c r="H25" s="58"/>
      <c r="I25" s="61"/>
      <c r="J25" s="63"/>
      <c r="K25" s="63"/>
      <c r="L25" s="70" t="str">
        <f t="shared" si="2"/>
        <v/>
      </c>
      <c r="M25" s="85"/>
      <c r="N25" s="44"/>
      <c r="O25" s="74"/>
      <c r="P25" s="76" t="str">
        <f t="shared" ca="1" si="3"/>
        <v/>
      </c>
    </row>
    <row r="26" spans="2:16" ht="24" customHeight="1">
      <c r="B26" s="43" t="str">
        <f t="shared" si="0"/>
        <v/>
      </c>
      <c r="C26" s="44"/>
      <c r="D26" s="48"/>
      <c r="E26" s="44"/>
      <c r="F26" s="44"/>
      <c r="G26" s="56" t="str">
        <f t="shared" si="1"/>
        <v/>
      </c>
      <c r="H26" s="58"/>
      <c r="I26" s="61"/>
      <c r="J26" s="63"/>
      <c r="K26" s="63"/>
      <c r="L26" s="70" t="str">
        <f t="shared" si="2"/>
        <v/>
      </c>
      <c r="M26" s="85"/>
      <c r="N26" s="44"/>
      <c r="O26" s="74"/>
      <c r="P26" s="76" t="str">
        <f t="shared" ca="1" si="3"/>
        <v/>
      </c>
    </row>
    <row r="27" spans="2:16" ht="24" customHeight="1">
      <c r="B27" s="43" t="str">
        <f t="shared" si="0"/>
        <v/>
      </c>
      <c r="C27" s="44"/>
      <c r="D27" s="48"/>
      <c r="E27" s="44"/>
      <c r="F27" s="44"/>
      <c r="G27" s="56" t="str">
        <f t="shared" si="1"/>
        <v/>
      </c>
      <c r="H27" s="58"/>
      <c r="I27" s="61"/>
      <c r="J27" s="63"/>
      <c r="K27" s="63"/>
      <c r="L27" s="70" t="str">
        <f t="shared" si="2"/>
        <v/>
      </c>
      <c r="M27" s="85"/>
      <c r="N27" s="44"/>
      <c r="O27" s="74"/>
      <c r="P27" s="76" t="str">
        <f t="shared" ca="1" si="3"/>
        <v/>
      </c>
    </row>
    <row r="28" spans="2:16" ht="24" customHeight="1">
      <c r="B28" s="43" t="str">
        <f t="shared" si="0"/>
        <v/>
      </c>
      <c r="C28" s="44"/>
      <c r="D28" s="48"/>
      <c r="E28" s="44"/>
      <c r="F28" s="44"/>
      <c r="G28" s="56" t="str">
        <f t="shared" si="1"/>
        <v/>
      </c>
      <c r="H28" s="58"/>
      <c r="I28" s="61"/>
      <c r="J28" s="63"/>
      <c r="K28" s="63"/>
      <c r="L28" s="70" t="str">
        <f t="shared" si="2"/>
        <v/>
      </c>
      <c r="M28" s="85"/>
      <c r="N28" s="44"/>
      <c r="O28" s="74"/>
      <c r="P28" s="76" t="str">
        <f t="shared" ca="1" si="3"/>
        <v/>
      </c>
    </row>
    <row r="29" spans="2:16" ht="24" customHeight="1">
      <c r="B29" s="43" t="str">
        <f t="shared" si="0"/>
        <v/>
      </c>
      <c r="C29" s="44"/>
      <c r="D29" s="48"/>
      <c r="E29" s="44"/>
      <c r="F29" s="44"/>
      <c r="G29" s="56" t="str">
        <f t="shared" si="1"/>
        <v/>
      </c>
      <c r="H29" s="58"/>
      <c r="I29" s="61"/>
      <c r="J29" s="63"/>
      <c r="K29" s="63"/>
      <c r="L29" s="70" t="str">
        <f t="shared" si="2"/>
        <v/>
      </c>
      <c r="M29" s="85"/>
      <c r="N29" s="44"/>
      <c r="O29" s="74"/>
      <c r="P29" s="76" t="str">
        <f t="shared" ca="1" si="3"/>
        <v/>
      </c>
    </row>
    <row r="30" spans="2:16" ht="24" customHeight="1">
      <c r="B30" s="43" t="str">
        <f t="shared" si="0"/>
        <v/>
      </c>
      <c r="C30" s="44"/>
      <c r="D30" s="48"/>
      <c r="E30" s="44"/>
      <c r="F30" s="44"/>
      <c r="G30" s="56" t="str">
        <f t="shared" si="1"/>
        <v/>
      </c>
      <c r="H30" s="58"/>
      <c r="I30" s="61"/>
      <c r="J30" s="63"/>
      <c r="K30" s="63"/>
      <c r="L30" s="70" t="str">
        <f t="shared" si="2"/>
        <v/>
      </c>
      <c r="M30" s="85"/>
      <c r="N30" s="44"/>
      <c r="O30" s="74"/>
      <c r="P30" s="76" t="str">
        <f t="shared" ca="1" si="3"/>
        <v/>
      </c>
    </row>
    <row r="31" spans="2:16" ht="24" customHeight="1">
      <c r="B31" s="43" t="str">
        <f t="shared" si="0"/>
        <v/>
      </c>
      <c r="C31" s="44"/>
      <c r="D31" s="48"/>
      <c r="E31" s="44"/>
      <c r="F31" s="44"/>
      <c r="G31" s="56" t="str">
        <f t="shared" si="1"/>
        <v/>
      </c>
      <c r="H31" s="58"/>
      <c r="I31" s="61"/>
      <c r="J31" s="63"/>
      <c r="K31" s="63"/>
      <c r="L31" s="70" t="str">
        <f t="shared" si="2"/>
        <v/>
      </c>
      <c r="M31" s="85"/>
      <c r="N31" s="44"/>
      <c r="O31" s="74"/>
      <c r="P31" s="76" t="str">
        <f t="shared" ca="1" si="3"/>
        <v/>
      </c>
    </row>
    <row r="32" spans="2:16" ht="24" customHeight="1">
      <c r="B32" s="43" t="str">
        <f t="shared" si="0"/>
        <v/>
      </c>
      <c r="C32" s="44"/>
      <c r="D32" s="48"/>
      <c r="E32" s="44"/>
      <c r="F32" s="44"/>
      <c r="G32" s="56" t="str">
        <f t="shared" si="1"/>
        <v/>
      </c>
      <c r="H32" s="58"/>
      <c r="I32" s="61"/>
      <c r="J32" s="63"/>
      <c r="K32" s="63"/>
      <c r="L32" s="70" t="str">
        <f t="shared" si="2"/>
        <v/>
      </c>
      <c r="M32" s="85"/>
      <c r="N32" s="44"/>
      <c r="O32" s="74"/>
      <c r="P32" s="76" t="str">
        <f t="shared" ca="1" si="3"/>
        <v/>
      </c>
    </row>
    <row r="33" spans="2:16" ht="24" customHeight="1">
      <c r="B33" s="43" t="str">
        <f t="shared" si="0"/>
        <v/>
      </c>
      <c r="C33" s="44"/>
      <c r="D33" s="48"/>
      <c r="E33" s="44"/>
      <c r="F33" s="44"/>
      <c r="G33" s="56" t="str">
        <f t="shared" si="1"/>
        <v/>
      </c>
      <c r="H33" s="58"/>
      <c r="I33" s="61"/>
      <c r="J33" s="63"/>
      <c r="K33" s="63"/>
      <c r="L33" s="70" t="str">
        <f t="shared" si="2"/>
        <v/>
      </c>
      <c r="M33" s="85"/>
      <c r="N33" s="44"/>
      <c r="O33" s="74"/>
      <c r="P33" s="76" t="str">
        <f t="shared" ca="1" si="3"/>
        <v/>
      </c>
    </row>
    <row r="34" spans="2:16" ht="15.75" customHeight="1"/>
    <row r="35" spans="2:16" ht="33.75" customHeight="1">
      <c r="B35" s="119" t="s">
        <v>166</v>
      </c>
      <c r="C35" s="102"/>
      <c r="D35" s="102"/>
      <c r="E35" s="102"/>
      <c r="F35" s="102"/>
      <c r="G35" s="102"/>
      <c r="H35" s="102"/>
      <c r="I35" s="102"/>
      <c r="J35" s="102"/>
      <c r="K35" s="102"/>
      <c r="L35" s="102"/>
      <c r="M35" s="102"/>
      <c r="N35" s="102"/>
      <c r="O35" s="102"/>
      <c r="P35" s="103"/>
    </row>
    <row r="36" spans="2:16" ht="15.75" customHeight="1"/>
    <row r="37" spans="2:16" ht="15.75" customHeight="1"/>
    <row r="38" spans="2:16" ht="15.75" customHeight="1"/>
    <row r="39" spans="2:16" ht="15.75" customHeight="1"/>
    <row r="40" spans="2:16" ht="15.75" customHeight="1"/>
    <row r="41" spans="2:16" ht="15.75" customHeight="1"/>
    <row r="42" spans="2:16" ht="15.75" customHeight="1"/>
    <row r="43" spans="2:16" ht="15.75" customHeight="1"/>
    <row r="44" spans="2:16" ht="15.75" customHeight="1"/>
    <row r="45" spans="2:16" ht="15.75" customHeight="1"/>
    <row r="46" spans="2:16" ht="15.75" customHeight="1"/>
    <row r="47" spans="2:16" ht="15.75" customHeight="1"/>
    <row r="48" spans="2: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P3"/>
    <mergeCell ref="B35:P35"/>
  </mergeCells>
  <conditionalFormatting sqref="B8:B33">
    <cfRule type="expression" dxfId="33" priority="1">
      <formula>$H8="★"</formula>
    </cfRule>
  </conditionalFormatting>
  <conditionalFormatting sqref="B8:B33">
    <cfRule type="expression" dxfId="32" priority="2">
      <formula>$D8&lt;&gt;""</formula>
    </cfRule>
  </conditionalFormatting>
  <conditionalFormatting sqref="B8:O33">
    <cfRule type="expression" dxfId="31" priority="3">
      <formula>$M8="Hoàn thành"</formula>
    </cfRule>
  </conditionalFormatting>
  <conditionalFormatting sqref="E8:E33">
    <cfRule type="expression" dxfId="30" priority="4">
      <formula>$E8="Xperise"</formula>
    </cfRule>
  </conditionalFormatting>
  <conditionalFormatting sqref="E8:E33">
    <cfRule type="expression" dxfId="29" priority="5">
      <formula>$E8="Nam Á Bank"</formula>
    </cfRule>
  </conditionalFormatting>
  <conditionalFormatting sqref="E8:E33">
    <cfRule type="expression" dxfId="28" priority="6">
      <formula>$E8="Hai bên"</formula>
    </cfRule>
  </conditionalFormatting>
  <conditionalFormatting sqref="M8:M33">
    <cfRule type="expression" dxfId="27" priority="7">
      <formula>M8="Chưa bắt đầu"</formula>
    </cfRule>
  </conditionalFormatting>
  <conditionalFormatting sqref="M8:M33">
    <cfRule type="expression" dxfId="26" priority="8">
      <formula>M8="Đang làm"</formula>
    </cfRule>
  </conditionalFormatting>
  <conditionalFormatting sqref="M8:M33">
    <cfRule type="expression" dxfId="25" priority="9">
      <formula>M8="Hoàn thành"</formula>
    </cfRule>
  </conditionalFormatting>
  <conditionalFormatting sqref="M8:M33">
    <cfRule type="expression" dxfId="24" priority="10">
      <formula>M8="Vướng mắc"</formula>
    </cfRule>
  </conditionalFormatting>
  <conditionalFormatting sqref="M8:M33">
    <cfRule type="expression" dxfId="23" priority="11">
      <formula>M8="Đang chờ"</formula>
    </cfRule>
  </conditionalFormatting>
  <conditionalFormatting sqref="M8:M33">
    <cfRule type="expression" dxfId="22" priority="12">
      <formula>M8="Đã gửi"</formula>
    </cfRule>
  </conditionalFormatting>
  <conditionalFormatting sqref="M8:M33">
    <cfRule type="expression" dxfId="21" priority="13">
      <formula>M8="Đã nhận"</formula>
    </cfRule>
  </conditionalFormatting>
  <conditionalFormatting sqref="M8:M33">
    <cfRule type="expression" dxfId="20" priority="14">
      <formula>M8="Không áp dụng"</formula>
    </cfRule>
  </conditionalFormatting>
  <conditionalFormatting sqref="M8:M33">
    <cfRule type="expression" dxfId="19" priority="15">
      <formula>M8="Chưa gửi"</formula>
    </cfRule>
  </conditionalFormatting>
  <conditionalFormatting sqref="M8:M33">
    <cfRule type="expression" dxfId="18" priority="16">
      <formula>M8="Đã xác nhận"</formula>
    </cfRule>
  </conditionalFormatting>
  <conditionalFormatting sqref="M8:M33">
    <cfRule type="expression" dxfId="17" priority="17">
      <formula>M8="Có"</formula>
    </cfRule>
  </conditionalFormatting>
  <conditionalFormatting sqref="M8:M33">
    <cfRule type="expression" dxfId="16" priority="18">
      <formula>M8="Không"</formula>
    </cfRule>
  </conditionalFormatting>
  <conditionalFormatting sqref="M8:M33">
    <cfRule type="expression" dxfId="15" priority="19">
      <formula>M8="Chưa rõ"</formula>
    </cfRule>
  </conditionalFormatting>
  <conditionalFormatting sqref="M8:M33">
    <cfRule type="expression" dxfId="14" priority="20">
      <formula>M8="Bắt buộc"</formula>
    </cfRule>
  </conditionalFormatting>
  <conditionalFormatting sqref="M8:M33">
    <cfRule type="expression" dxfId="13" priority="21">
      <formula>M8="Mong muốn"</formula>
    </cfRule>
  </conditionalFormatting>
  <conditionalFormatting sqref="M8:M33">
    <cfRule type="expression" dxfId="12" priority="22">
      <formula>M8="Tham khảo"</formula>
    </cfRule>
  </conditionalFormatting>
  <conditionalFormatting sqref="P8:P33">
    <cfRule type="expression" dxfId="11" priority="23">
      <formula>$P8="Quá hạn"</formula>
    </cfRule>
  </conditionalFormatting>
  <dataValidations count="7">
    <dataValidation type="list" allowBlank="1" sqref="F8:F33">
      <formula1>"—,Hành chính,Nhân sự,Kế toán,Tài chính,CNTT,Pháp chế,Ban lãnh đạo"</formula1>
    </dataValidation>
    <dataValidation type="list" allowBlank="1" sqref="M8:M33">
      <formula1>"Chưa bắt đầu,Đang làm,Hoàn thành,Vướng mắc"</formula1>
    </dataValidation>
    <dataValidation type="list" allowBlank="1" showInputMessage="1" prompt="Hướng dẫn - Khoảng ngày: nhập Bắt đầu và Kết thúc._x000a_Từ ngày trở đi / Sau ngày: chỉ nhập Bắt đầu, để trống Kết thúc." sqref="I8:I33">
      <formula1>"Khoảng ngày,Từ ngày trở đi,Sau ngày"</formula1>
    </dataValidation>
    <dataValidation type="list" allowBlank="1" showInputMessage="1" prompt="Hướng dẫn - Chọn ★ để đánh dấu mốc quan trọng, để trống nếu không." sqref="H8:H33">
      <formula1>"★"</formula1>
    </dataValidation>
    <dataValidation type="list" allowBlank="1" sqref="C8:C33">
      <formula1>"Chuẩn bị,Tiến hành,Demo &amp; thống nhất,Ký kết &amp; đào tạo,Go-live &amp; hỗ trợ"</formula1>
    </dataValidation>
    <dataValidation type="list" allowBlank="1" sqref="E8:E33">
      <formula1>"Xperise,Nam Á Bank,Hai bên"</formula1>
    </dataValidation>
    <dataValidation type="date" operator="greaterThan" allowBlank="1" showInputMessage="1" prompt="Hướng dẫn - Nhập ngày theo định dạng dd/mm/yyyy." sqref="J8:K33">
      <formula1>36526</formula1>
    </dataValidation>
  </dataValidations>
  <printOptions horizontalCentered="1"/>
  <pageMargins left="0.4" right="0.4"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693"/>
    <pageSetUpPr fitToPage="1"/>
  </sheetPr>
  <dimension ref="B1:G1000"/>
  <sheetViews>
    <sheetView showGridLines="0" topLeftCell="A10" workbookViewId="0">
      <selection activeCell="D8" sqref="D8"/>
    </sheetView>
  </sheetViews>
  <sheetFormatPr defaultColWidth="14.44140625" defaultRowHeight="15" customHeight="1"/>
  <cols>
    <col min="1" max="1" width="2.44140625" customWidth="1"/>
    <col min="2" max="2" width="22" customWidth="1"/>
    <col min="3" max="7" width="31" customWidth="1"/>
    <col min="8" max="26" width="8.6640625" customWidth="1"/>
  </cols>
  <sheetData>
    <row r="1" spans="2:7" ht="9.75" customHeight="1"/>
    <row r="2" spans="2:7" ht="31.5" customHeight="1">
      <c r="B2" s="1" t="s">
        <v>0</v>
      </c>
    </row>
    <row r="3" spans="2:7" ht="36" customHeight="1">
      <c r="B3" s="118" t="s">
        <v>3</v>
      </c>
      <c r="C3" s="107"/>
      <c r="D3" s="107"/>
      <c r="E3" s="107"/>
      <c r="F3" s="107"/>
      <c r="G3" s="107"/>
    </row>
    <row r="4" spans="2:7" ht="3.75" customHeight="1">
      <c r="B4" s="3"/>
      <c r="C4" s="6"/>
      <c r="D4" s="13"/>
      <c r="E4" s="14"/>
      <c r="F4" s="15"/>
      <c r="G4" s="16"/>
    </row>
    <row r="6" spans="2:7" ht="14.4">
      <c r="B6" s="129" t="s">
        <v>6</v>
      </c>
      <c r="C6" s="107"/>
      <c r="D6" s="107"/>
      <c r="E6" s="107"/>
      <c r="F6" s="107"/>
      <c r="G6" s="107"/>
    </row>
    <row r="8" spans="2:7" ht="57.75" customHeight="1">
      <c r="B8" s="22" t="s">
        <v>7</v>
      </c>
      <c r="C8" s="26" t="s">
        <v>9</v>
      </c>
      <c r="D8" s="30" t="s">
        <v>11</v>
      </c>
      <c r="E8" s="35" t="s">
        <v>13</v>
      </c>
      <c r="F8" s="35" t="s">
        <v>17</v>
      </c>
      <c r="G8" s="40" t="s">
        <v>19</v>
      </c>
    </row>
    <row r="9" spans="2:7" ht="67.5" customHeight="1">
      <c r="B9" s="130" t="s">
        <v>23</v>
      </c>
      <c r="C9" s="45"/>
      <c r="D9" s="45"/>
      <c r="E9" s="45"/>
      <c r="F9" s="45"/>
      <c r="G9" s="47" t="s">
        <v>38</v>
      </c>
    </row>
    <row r="10" spans="2:7" ht="54" customHeight="1">
      <c r="B10" s="122"/>
      <c r="C10" s="52"/>
      <c r="D10" s="52"/>
      <c r="E10" s="52"/>
      <c r="F10" s="52"/>
      <c r="G10" s="47" t="s">
        <v>48</v>
      </c>
    </row>
    <row r="11" spans="2:7" ht="67.5" customHeight="1">
      <c r="B11" s="54" t="s">
        <v>49</v>
      </c>
      <c r="C11" s="59"/>
      <c r="D11" s="47" t="s">
        <v>55</v>
      </c>
      <c r="E11" s="59"/>
      <c r="F11" s="47" t="s">
        <v>56</v>
      </c>
      <c r="G11" s="59"/>
    </row>
    <row r="12" spans="2:7" ht="67.5" customHeight="1">
      <c r="B12" s="54" t="s">
        <v>57</v>
      </c>
      <c r="C12" s="59"/>
      <c r="D12" s="59"/>
      <c r="E12" s="47" t="s">
        <v>58</v>
      </c>
      <c r="F12" s="59"/>
      <c r="G12" s="47" t="s">
        <v>59</v>
      </c>
    </row>
    <row r="13" spans="2:7" ht="67.5" customHeight="1">
      <c r="B13" s="54" t="s">
        <v>60</v>
      </c>
      <c r="C13" s="59"/>
      <c r="D13" s="47" t="s">
        <v>61</v>
      </c>
      <c r="E13" s="59"/>
      <c r="F13" s="47" t="s">
        <v>62</v>
      </c>
      <c r="G13" s="59"/>
    </row>
    <row r="14" spans="2:7" ht="54" customHeight="1">
      <c r="B14" s="67" t="s">
        <v>63</v>
      </c>
      <c r="C14" s="69" t="s">
        <v>64</v>
      </c>
      <c r="D14" s="71"/>
      <c r="E14" s="69" t="s">
        <v>66</v>
      </c>
      <c r="F14" s="71"/>
      <c r="G14" s="69" t="s">
        <v>67</v>
      </c>
    </row>
    <row r="15" spans="2:7" ht="54" customHeight="1">
      <c r="B15" s="131" t="s">
        <v>68</v>
      </c>
      <c r="C15" s="75"/>
      <c r="D15" s="77" t="s">
        <v>70</v>
      </c>
      <c r="E15" s="80" t="s">
        <v>75</v>
      </c>
      <c r="F15" s="80" t="s">
        <v>82</v>
      </c>
      <c r="G15" s="77" t="s">
        <v>84</v>
      </c>
    </row>
    <row r="16" spans="2:7" ht="54" customHeight="1">
      <c r="B16" s="127"/>
      <c r="C16" s="81"/>
      <c r="D16" s="80" t="s">
        <v>90</v>
      </c>
      <c r="E16" s="81"/>
      <c r="F16" s="80" t="s">
        <v>93</v>
      </c>
      <c r="G16" s="80" t="s">
        <v>94</v>
      </c>
    </row>
    <row r="17" spans="2:7" ht="54" customHeight="1">
      <c r="B17" s="127"/>
      <c r="C17" s="81"/>
      <c r="D17" s="84" t="s">
        <v>95</v>
      </c>
      <c r="E17" s="81"/>
      <c r="F17" s="81"/>
      <c r="G17" s="84" t="s">
        <v>100</v>
      </c>
    </row>
    <row r="18" spans="2:7" ht="54" customHeight="1">
      <c r="B18" s="128"/>
      <c r="C18" s="86"/>
      <c r="D18" s="84" t="s">
        <v>105</v>
      </c>
      <c r="E18" s="86"/>
      <c r="F18" s="86"/>
      <c r="G18" s="86"/>
    </row>
    <row r="21" spans="2:7" ht="24" customHeight="1">
      <c r="B21" s="88" t="s">
        <v>106</v>
      </c>
      <c r="C21" s="83"/>
      <c r="D21" s="83"/>
      <c r="E21" s="83"/>
      <c r="F21" s="83"/>
      <c r="G21" s="83"/>
    </row>
    <row r="22" spans="2:7" ht="18" customHeight="1">
      <c r="B22" s="132" t="s">
        <v>107</v>
      </c>
      <c r="C22" s="107"/>
      <c r="D22" s="107"/>
      <c r="E22" s="107"/>
      <c r="F22" s="107"/>
      <c r="G22" s="107"/>
    </row>
    <row r="23" spans="2:7" ht="25.5" customHeight="1">
      <c r="B23" s="41" t="s">
        <v>109</v>
      </c>
      <c r="C23" s="41" t="s">
        <v>15</v>
      </c>
      <c r="D23" s="41" t="s">
        <v>30</v>
      </c>
      <c r="E23" s="114" t="s">
        <v>22</v>
      </c>
      <c r="F23" s="115"/>
      <c r="G23" s="41" t="s">
        <v>111</v>
      </c>
    </row>
    <row r="24" spans="2:7" ht="33.75" customHeight="1">
      <c r="B24" s="121" t="s">
        <v>112</v>
      </c>
      <c r="C24" s="89" t="s">
        <v>116</v>
      </c>
      <c r="D24" s="90" t="s">
        <v>117</v>
      </c>
      <c r="E24" s="120" t="s">
        <v>118</v>
      </c>
      <c r="F24" s="113"/>
      <c r="G24" s="91" t="s">
        <v>120</v>
      </c>
    </row>
    <row r="25" spans="2:7" ht="33.75" customHeight="1">
      <c r="B25" s="122"/>
      <c r="C25" s="89" t="s">
        <v>121</v>
      </c>
      <c r="D25" s="90" t="s">
        <v>117</v>
      </c>
      <c r="E25" s="120" t="s">
        <v>122</v>
      </c>
      <c r="F25" s="113"/>
      <c r="G25" s="91" t="s">
        <v>120</v>
      </c>
    </row>
    <row r="26" spans="2:7" ht="33.75" customHeight="1">
      <c r="B26" s="121" t="s">
        <v>123</v>
      </c>
      <c r="C26" s="89" t="s">
        <v>125</v>
      </c>
      <c r="D26" s="90" t="s">
        <v>126</v>
      </c>
      <c r="E26" s="120" t="s">
        <v>79</v>
      </c>
      <c r="F26" s="113"/>
      <c r="G26" s="91" t="s">
        <v>120</v>
      </c>
    </row>
    <row r="27" spans="2:7" ht="21.75" customHeight="1">
      <c r="B27" s="122"/>
      <c r="C27" s="89" t="s">
        <v>127</v>
      </c>
      <c r="D27" s="90" t="s">
        <v>128</v>
      </c>
      <c r="E27" s="120" t="s">
        <v>119</v>
      </c>
      <c r="F27" s="113"/>
      <c r="G27" s="93" t="s">
        <v>132</v>
      </c>
    </row>
    <row r="28" spans="2:7" ht="21.75" customHeight="1">
      <c r="B28" s="121" t="s">
        <v>133</v>
      </c>
      <c r="C28" s="89" t="s">
        <v>134</v>
      </c>
      <c r="D28" s="90" t="s">
        <v>135</v>
      </c>
      <c r="E28" s="120" t="s">
        <v>108</v>
      </c>
      <c r="F28" s="113"/>
      <c r="G28" s="93" t="s">
        <v>132</v>
      </c>
    </row>
    <row r="29" spans="2:7" ht="21.75" customHeight="1">
      <c r="B29" s="122"/>
      <c r="C29" s="89" t="s">
        <v>136</v>
      </c>
      <c r="D29" s="90" t="s">
        <v>137</v>
      </c>
      <c r="E29" s="120" t="s">
        <v>138</v>
      </c>
      <c r="F29" s="113"/>
      <c r="G29" s="93" t="s">
        <v>132</v>
      </c>
    </row>
    <row r="30" spans="2:7" ht="21.75" customHeight="1">
      <c r="B30" s="121" t="s">
        <v>139</v>
      </c>
      <c r="C30" s="89" t="s">
        <v>141</v>
      </c>
      <c r="D30" s="90" t="s">
        <v>131</v>
      </c>
      <c r="E30" s="120" t="s">
        <v>85</v>
      </c>
      <c r="F30" s="113"/>
      <c r="G30" s="93" t="s">
        <v>132</v>
      </c>
    </row>
    <row r="31" spans="2:7" ht="33.75" customHeight="1">
      <c r="B31" s="122"/>
      <c r="C31" s="89" t="s">
        <v>142</v>
      </c>
      <c r="D31" s="90" t="s">
        <v>128</v>
      </c>
      <c r="E31" s="120" t="s">
        <v>114</v>
      </c>
      <c r="F31" s="113"/>
      <c r="G31" s="93" t="s">
        <v>132</v>
      </c>
    </row>
    <row r="32" spans="2:7" ht="21.75" customHeight="1">
      <c r="B32" s="123" t="s">
        <v>39</v>
      </c>
      <c r="C32" s="94" t="s">
        <v>145</v>
      </c>
      <c r="D32" s="90" t="s">
        <v>101</v>
      </c>
      <c r="E32" s="120" t="s">
        <v>37</v>
      </c>
      <c r="F32" s="113"/>
      <c r="G32" s="93" t="s">
        <v>146</v>
      </c>
    </row>
    <row r="33" spans="2:7" ht="21.75" customHeight="1">
      <c r="B33" s="124"/>
      <c r="C33" s="94" t="s">
        <v>148</v>
      </c>
      <c r="D33" s="90" t="s">
        <v>135</v>
      </c>
      <c r="E33" s="120" t="s">
        <v>104</v>
      </c>
      <c r="F33" s="113"/>
      <c r="G33" s="93" t="s">
        <v>146</v>
      </c>
    </row>
    <row r="34" spans="2:7" ht="21.75" customHeight="1">
      <c r="B34" s="125"/>
      <c r="C34" s="94" t="s">
        <v>149</v>
      </c>
      <c r="D34" s="90" t="s">
        <v>150</v>
      </c>
      <c r="E34" s="120" t="s">
        <v>130</v>
      </c>
      <c r="F34" s="113"/>
      <c r="G34" s="93" t="s">
        <v>146</v>
      </c>
    </row>
    <row r="35" spans="2:7" ht="21.75" customHeight="1">
      <c r="B35" s="126" t="s">
        <v>73</v>
      </c>
      <c r="C35" s="95" t="s">
        <v>151</v>
      </c>
      <c r="D35" s="90" t="s">
        <v>153</v>
      </c>
      <c r="E35" s="120" t="s">
        <v>72</v>
      </c>
      <c r="F35" s="113"/>
      <c r="G35" s="91" t="s">
        <v>120</v>
      </c>
    </row>
    <row r="36" spans="2:7" ht="21.75" customHeight="1">
      <c r="B36" s="127"/>
      <c r="C36" s="95" t="s">
        <v>141</v>
      </c>
      <c r="D36" s="90" t="s">
        <v>131</v>
      </c>
      <c r="E36" s="120" t="s">
        <v>85</v>
      </c>
      <c r="F36" s="113"/>
      <c r="G36" s="93" t="s">
        <v>154</v>
      </c>
    </row>
    <row r="37" spans="2:7" ht="21.75" customHeight="1">
      <c r="B37" s="127"/>
      <c r="C37" s="95" t="s">
        <v>155</v>
      </c>
      <c r="D37" s="90" t="s">
        <v>156</v>
      </c>
      <c r="E37" s="120" t="s">
        <v>88</v>
      </c>
      <c r="F37" s="113"/>
      <c r="G37" s="91" t="s">
        <v>120</v>
      </c>
    </row>
    <row r="38" spans="2:7" ht="21.75" customHeight="1">
      <c r="B38" s="127"/>
      <c r="C38" s="95" t="s">
        <v>157</v>
      </c>
      <c r="D38" s="90" t="s">
        <v>158</v>
      </c>
      <c r="E38" s="120" t="s">
        <v>89</v>
      </c>
      <c r="F38" s="113"/>
      <c r="G38" s="91" t="s">
        <v>120</v>
      </c>
    </row>
    <row r="39" spans="2:7" ht="21.75" customHeight="1">
      <c r="B39" s="127"/>
      <c r="C39" s="95" t="s">
        <v>134</v>
      </c>
      <c r="D39" s="90" t="s">
        <v>135</v>
      </c>
      <c r="E39" s="120" t="s">
        <v>108</v>
      </c>
      <c r="F39" s="113"/>
      <c r="G39" s="93" t="s">
        <v>160</v>
      </c>
    </row>
    <row r="40" spans="2:7" ht="33.75" customHeight="1">
      <c r="B40" s="127"/>
      <c r="C40" s="95" t="s">
        <v>142</v>
      </c>
      <c r="D40" s="90" t="s">
        <v>128</v>
      </c>
      <c r="E40" s="120" t="s">
        <v>114</v>
      </c>
      <c r="F40" s="113"/>
      <c r="G40" s="93" t="s">
        <v>154</v>
      </c>
    </row>
    <row r="41" spans="2:7" ht="21.75" customHeight="1">
      <c r="B41" s="127"/>
      <c r="C41" s="95" t="s">
        <v>127</v>
      </c>
      <c r="D41" s="90" t="s">
        <v>128</v>
      </c>
      <c r="E41" s="120" t="s">
        <v>119</v>
      </c>
      <c r="F41" s="113"/>
      <c r="G41" s="93" t="s">
        <v>162</v>
      </c>
    </row>
    <row r="42" spans="2:7" ht="21.75" customHeight="1">
      <c r="B42" s="127"/>
      <c r="C42" s="95" t="s">
        <v>163</v>
      </c>
      <c r="D42" s="90" t="s">
        <v>164</v>
      </c>
      <c r="E42" s="120" t="s">
        <v>140</v>
      </c>
      <c r="F42" s="113"/>
      <c r="G42" s="91" t="s">
        <v>120</v>
      </c>
    </row>
    <row r="43" spans="2:7" ht="21.75" customHeight="1">
      <c r="B43" s="127"/>
      <c r="C43" s="95" t="s">
        <v>136</v>
      </c>
      <c r="D43" s="90" t="s">
        <v>137</v>
      </c>
      <c r="E43" s="120" t="s">
        <v>138</v>
      </c>
      <c r="F43" s="113"/>
      <c r="G43" s="93" t="s">
        <v>160</v>
      </c>
    </row>
    <row r="44" spans="2:7" ht="33.75" customHeight="1">
      <c r="B44" s="128"/>
      <c r="C44" s="95" t="s">
        <v>165</v>
      </c>
      <c r="D44" s="90" t="s">
        <v>150</v>
      </c>
      <c r="E44" s="120" t="s">
        <v>161</v>
      </c>
      <c r="F44" s="113"/>
      <c r="G44" s="91" t="s">
        <v>120</v>
      </c>
    </row>
    <row r="45" spans="2:7" ht="15.75" customHeight="1"/>
    <row r="46" spans="2:7" ht="15.75" customHeight="1"/>
    <row r="47" spans="2:7" ht="15.75" customHeight="1"/>
    <row r="48" spans="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E38:F38"/>
    <mergeCell ref="E39:F39"/>
    <mergeCell ref="E33:F33"/>
    <mergeCell ref="E34:F34"/>
    <mergeCell ref="E35:F35"/>
    <mergeCell ref="E36:F36"/>
    <mergeCell ref="E37:F37"/>
    <mergeCell ref="E40:F40"/>
    <mergeCell ref="E41:F41"/>
    <mergeCell ref="E42:F42"/>
    <mergeCell ref="E43:F43"/>
    <mergeCell ref="E44:F44"/>
    <mergeCell ref="B32:B34"/>
    <mergeCell ref="B35:B44"/>
    <mergeCell ref="B3:G3"/>
    <mergeCell ref="B6:G6"/>
    <mergeCell ref="B9:B10"/>
    <mergeCell ref="B15:B18"/>
    <mergeCell ref="B22:G22"/>
    <mergeCell ref="B24:B25"/>
    <mergeCell ref="E27:F27"/>
    <mergeCell ref="E23:F23"/>
    <mergeCell ref="E26:F26"/>
    <mergeCell ref="E28:F28"/>
    <mergeCell ref="E29:F29"/>
    <mergeCell ref="E30:F30"/>
    <mergeCell ref="E31:F31"/>
    <mergeCell ref="E32:F32"/>
    <mergeCell ref="E24:F24"/>
    <mergeCell ref="E25:F25"/>
    <mergeCell ref="B26:B27"/>
    <mergeCell ref="B28:B29"/>
    <mergeCell ref="B30:B31"/>
  </mergeCells>
  <printOptions horizontalCentered="1"/>
  <pageMargins left="0.4" right="0.4"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26B00"/>
    <pageSetUpPr fitToPage="1"/>
  </sheetPr>
  <dimension ref="B1:AR1000"/>
  <sheetViews>
    <sheetView showGridLines="0" tabSelected="1" workbookViewId="0">
      <pane xSplit="11" ySplit="8" topLeftCell="L9" activePane="bottomRight" state="frozen"/>
      <selection pane="topRight" activeCell="L1" sqref="L1"/>
      <selection pane="bottomLeft" activeCell="A9" sqref="A9"/>
      <selection pane="bottomRight" activeCell="AK17" sqref="AK17"/>
    </sheetView>
  </sheetViews>
  <sheetFormatPr defaultColWidth="14.44140625" defaultRowHeight="15" customHeight="1"/>
  <cols>
    <col min="1" max="1" width="2.44140625" customWidth="1"/>
    <col min="2" max="2" width="6" customWidth="1"/>
    <col min="3" max="3" width="40" customWidth="1"/>
    <col min="4" max="4" width="26" customWidth="1"/>
    <col min="5" max="5" width="15" customWidth="1"/>
    <col min="6" max="11" width="13" hidden="1" customWidth="1"/>
    <col min="12" max="44" width="3.6640625" customWidth="1"/>
  </cols>
  <sheetData>
    <row r="1" spans="2:44" ht="9.75" customHeight="1"/>
    <row r="2" spans="2:44" ht="31.5" customHeight="1">
      <c r="B2" s="1" t="s">
        <v>2</v>
      </c>
    </row>
    <row r="3" spans="2:44" ht="36" customHeight="1">
      <c r="B3" s="118" t="s">
        <v>5</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row>
    <row r="4" spans="2:44" ht="3.75" customHeight="1">
      <c r="B4" s="3"/>
      <c r="C4" s="4"/>
      <c r="D4" s="4"/>
      <c r="E4" s="4"/>
      <c r="F4" s="8"/>
      <c r="G4" s="5"/>
      <c r="H4" s="5"/>
      <c r="I4" s="6"/>
      <c r="J4" s="9"/>
      <c r="K4" s="7"/>
      <c r="L4" s="7"/>
      <c r="M4" s="10"/>
      <c r="N4" s="11"/>
      <c r="O4" s="13"/>
      <c r="P4" s="13"/>
      <c r="Q4" s="12"/>
      <c r="R4" s="12"/>
      <c r="S4" s="17"/>
      <c r="T4" s="17"/>
      <c r="U4" s="18"/>
      <c r="V4" s="14"/>
      <c r="W4" s="21"/>
      <c r="X4" s="21"/>
      <c r="Y4" s="25"/>
      <c r="Z4" s="19"/>
      <c r="AA4" s="19"/>
      <c r="AB4" s="29"/>
      <c r="AC4" s="15"/>
      <c r="AD4" s="20"/>
      <c r="AE4" s="20"/>
      <c r="AF4" s="34"/>
      <c r="AG4" s="24"/>
      <c r="AH4" s="24"/>
      <c r="AI4" s="24"/>
      <c r="AJ4" s="16"/>
    </row>
    <row r="5" spans="2:44" ht="14.4">
      <c r="C5" s="38" t="s">
        <v>18</v>
      </c>
      <c r="D5" s="39">
        <f>'Tổng quan'!H6</f>
        <v>46293</v>
      </c>
    </row>
    <row r="6" spans="2:44" ht="14.4">
      <c r="L6" s="133" t="s">
        <v>21</v>
      </c>
      <c r="M6" s="134"/>
      <c r="N6" s="134"/>
      <c r="O6" s="134"/>
      <c r="P6" s="134"/>
      <c r="Q6" s="134"/>
      <c r="R6" s="134"/>
      <c r="S6" s="134"/>
      <c r="T6" s="134"/>
      <c r="U6" s="134"/>
      <c r="V6" s="134"/>
      <c r="W6" s="134"/>
      <c r="X6" s="134"/>
      <c r="Y6" s="134"/>
      <c r="Z6" s="134"/>
      <c r="AA6" s="134"/>
      <c r="AB6" s="134"/>
      <c r="AC6" s="133" t="s">
        <v>35</v>
      </c>
      <c r="AD6" s="134"/>
      <c r="AE6" s="134"/>
      <c r="AF6" s="134"/>
      <c r="AG6" s="134"/>
      <c r="AH6" s="134"/>
      <c r="AI6" s="134"/>
      <c r="AJ6" s="134"/>
      <c r="AK6" s="134"/>
      <c r="AL6" s="134"/>
      <c r="AM6" s="134"/>
      <c r="AN6" s="134"/>
      <c r="AO6" s="134"/>
      <c r="AP6" s="134"/>
      <c r="AQ6" s="134"/>
      <c r="AR6" s="134"/>
    </row>
    <row r="7" spans="2:44" ht="14.4">
      <c r="L7" s="42">
        <v>46279</v>
      </c>
      <c r="M7" s="42">
        <v>46280</v>
      </c>
      <c r="N7" s="42">
        <v>46281</v>
      </c>
      <c r="O7" s="42">
        <v>46282</v>
      </c>
      <c r="P7" s="42">
        <v>46283</v>
      </c>
      <c r="Q7" s="42">
        <v>46284</v>
      </c>
      <c r="R7" s="42">
        <v>46285</v>
      </c>
      <c r="S7" s="42">
        <v>46286</v>
      </c>
      <c r="T7" s="42">
        <v>46287</v>
      </c>
      <c r="U7" s="42">
        <v>46288</v>
      </c>
      <c r="V7" s="42">
        <v>46289</v>
      </c>
      <c r="W7" s="42">
        <v>46290</v>
      </c>
      <c r="X7" s="42">
        <v>46291</v>
      </c>
      <c r="Y7" s="42">
        <v>46292</v>
      </c>
      <c r="Z7" s="42">
        <v>46293</v>
      </c>
      <c r="AA7" s="42">
        <v>46294</v>
      </c>
      <c r="AB7" s="42">
        <v>46295</v>
      </c>
      <c r="AC7" s="42">
        <v>46296</v>
      </c>
      <c r="AD7" s="42">
        <v>46297</v>
      </c>
      <c r="AE7" s="42">
        <v>46298</v>
      </c>
      <c r="AF7" s="42">
        <v>46299</v>
      </c>
      <c r="AG7" s="42">
        <v>46300</v>
      </c>
      <c r="AH7" s="42">
        <v>46301</v>
      </c>
      <c r="AI7" s="42">
        <v>46302</v>
      </c>
      <c r="AJ7" s="42">
        <v>46303</v>
      </c>
      <c r="AK7" s="42">
        <v>46304</v>
      </c>
      <c r="AL7" s="42">
        <v>46305</v>
      </c>
      <c r="AM7" s="42">
        <v>46306</v>
      </c>
      <c r="AN7" s="42">
        <v>46307</v>
      </c>
      <c r="AO7" s="42">
        <v>46308</v>
      </c>
      <c r="AP7" s="42">
        <v>46309</v>
      </c>
      <c r="AQ7" s="42">
        <v>46310</v>
      </c>
      <c r="AR7" s="42">
        <v>46311</v>
      </c>
    </row>
    <row r="8" spans="2:44" ht="24" customHeight="1">
      <c r="B8" s="46" t="s">
        <v>15</v>
      </c>
      <c r="C8" s="49" t="s">
        <v>22</v>
      </c>
      <c r="D8" s="49" t="s">
        <v>7</v>
      </c>
      <c r="E8" s="49" t="s">
        <v>30</v>
      </c>
      <c r="L8" s="51" t="s">
        <v>41</v>
      </c>
      <c r="M8" s="51" t="s">
        <v>42</v>
      </c>
      <c r="N8" s="51" t="s">
        <v>43</v>
      </c>
      <c r="O8" s="51" t="s">
        <v>44</v>
      </c>
      <c r="P8" s="51" t="s">
        <v>45</v>
      </c>
      <c r="Q8" s="51" t="s">
        <v>46</v>
      </c>
      <c r="R8" s="51" t="s">
        <v>47</v>
      </c>
      <c r="S8" s="51" t="s">
        <v>41</v>
      </c>
      <c r="T8" s="51" t="s">
        <v>42</v>
      </c>
      <c r="U8" s="51" t="s">
        <v>43</v>
      </c>
      <c r="V8" s="51" t="s">
        <v>44</v>
      </c>
      <c r="W8" s="51" t="s">
        <v>45</v>
      </c>
      <c r="X8" s="51" t="s">
        <v>46</v>
      </c>
      <c r="Y8" s="51" t="s">
        <v>47</v>
      </c>
      <c r="Z8" s="51" t="s">
        <v>41</v>
      </c>
      <c r="AA8" s="51" t="s">
        <v>42</v>
      </c>
      <c r="AB8" s="51" t="s">
        <v>43</v>
      </c>
      <c r="AC8" s="51" t="s">
        <v>44</v>
      </c>
      <c r="AD8" s="51" t="s">
        <v>45</v>
      </c>
      <c r="AE8" s="51" t="s">
        <v>46</v>
      </c>
      <c r="AF8" s="51" t="s">
        <v>47</v>
      </c>
      <c r="AG8" s="51" t="s">
        <v>41</v>
      </c>
      <c r="AH8" s="51" t="s">
        <v>42</v>
      </c>
      <c r="AI8" s="51" t="s">
        <v>43</v>
      </c>
      <c r="AJ8" s="51" t="s">
        <v>44</v>
      </c>
      <c r="AK8" s="51" t="s">
        <v>45</v>
      </c>
      <c r="AL8" s="51" t="s">
        <v>46</v>
      </c>
      <c r="AM8" s="51" t="s">
        <v>47</v>
      </c>
      <c r="AN8" s="51" t="s">
        <v>41</v>
      </c>
      <c r="AO8" s="51" t="s">
        <v>42</v>
      </c>
      <c r="AP8" s="51" t="s">
        <v>43</v>
      </c>
      <c r="AQ8" s="51" t="s">
        <v>44</v>
      </c>
      <c r="AR8" s="51" t="s">
        <v>45</v>
      </c>
    </row>
    <row r="9" spans="2:44" ht="30" customHeight="1">
      <c r="B9" s="57">
        <f>IF('Kế hoạch triển khai'!D8="","",'Kế hoạch triển khai'!B8)</f>
        <v>1</v>
      </c>
      <c r="C9" s="60" t="str">
        <f>IF('Kế hoạch triển khai'!D8="","",'Kế hoạch triển khai'!D8)</f>
        <v>Họp khởi động: thống nhất phạm vi và chính sách</v>
      </c>
      <c r="D9" s="62" t="str">
        <f>IF('Kế hoạch triển khai'!D8="","",'Kế hoạch triển khai'!G8)</f>
        <v>Nam Á Bank – Hành chính (cùng Xperise)</v>
      </c>
      <c r="E9" s="64" t="str">
        <f>IF('Kế hoạch triển khai'!D8="","",'Kế hoạch triển khai'!L8)</f>
        <v>16/09</v>
      </c>
      <c r="F9" s="66" t="str">
        <f>'Kế hoạch triển khai'!E8&amp;""</f>
        <v>Hai bên</v>
      </c>
      <c r="G9" s="72">
        <f>IF(OR('Kế hoạch triển khai'!D8="",NOT(ISNUMBER('Kế hoạch triển khai'!J8))),"",IF('Kế hoạch triển khai'!I8="Sau ngày",'Kế hoạch triển khai'!J8+1,'Kế hoạch triển khai'!J8))</f>
        <v>46281</v>
      </c>
      <c r="H9" s="72">
        <f>IF(G9="","",IF(OR('Kế hoạch triển khai'!I8="Từ ngày trở đi",'Kế hoạch triển khai'!I8="Sau ngày"),$AR$7,IF(ISNUMBER('Kế hoạch triển khai'!K8),'Kế hoạch triển khai'!K8,G9)))</f>
        <v>46281</v>
      </c>
      <c r="I9" s="66" t="str">
        <f>'Kế hoạch triển khai'!I8&amp;""</f>
        <v>Khoảng ngày</v>
      </c>
      <c r="J9" s="66" t="str">
        <f>'Kế hoạch triển khai'!H8&amp;""</f>
        <v>★</v>
      </c>
      <c r="K9" s="66" t="str">
        <f>'Kế hoạch triển khai'!M8&amp;""</f>
        <v>Hoàn thành</v>
      </c>
      <c r="L9" s="78" t="str">
        <f t="shared" ref="L9:AR9" si="0">IF(AND($J9="★",$H9&lt;&gt;"",L$7=$H9,$I9&lt;&gt;"Từ ngày trở đi",$I9&lt;&gt;"Sau ngày"),"★","")</f>
        <v/>
      </c>
      <c r="M9" s="78" t="str">
        <f t="shared" si="0"/>
        <v/>
      </c>
      <c r="N9" s="78" t="str">
        <f t="shared" si="0"/>
        <v>★</v>
      </c>
      <c r="O9" s="78" t="str">
        <f t="shared" si="0"/>
        <v/>
      </c>
      <c r="P9" s="78" t="str">
        <f t="shared" si="0"/>
        <v/>
      </c>
      <c r="Q9" s="78" t="str">
        <f t="shared" si="0"/>
        <v/>
      </c>
      <c r="R9" s="78" t="str">
        <f t="shared" si="0"/>
        <v/>
      </c>
      <c r="S9" s="78" t="str">
        <f t="shared" si="0"/>
        <v/>
      </c>
      <c r="T9" s="78" t="str">
        <f t="shared" si="0"/>
        <v/>
      </c>
      <c r="U9" s="78" t="str">
        <f t="shared" si="0"/>
        <v/>
      </c>
      <c r="V9" s="78" t="str">
        <f t="shared" si="0"/>
        <v/>
      </c>
      <c r="W9" s="78" t="str">
        <f t="shared" si="0"/>
        <v/>
      </c>
      <c r="X9" s="78" t="str">
        <f t="shared" si="0"/>
        <v/>
      </c>
      <c r="Y9" s="78" t="str">
        <f t="shared" si="0"/>
        <v/>
      </c>
      <c r="Z9" s="78" t="str">
        <f t="shared" si="0"/>
        <v/>
      </c>
      <c r="AA9" s="78" t="str">
        <f t="shared" si="0"/>
        <v/>
      </c>
      <c r="AB9" s="78" t="str">
        <f t="shared" si="0"/>
        <v/>
      </c>
      <c r="AC9" s="78" t="str">
        <f t="shared" si="0"/>
        <v/>
      </c>
      <c r="AD9" s="78" t="str">
        <f t="shared" si="0"/>
        <v/>
      </c>
      <c r="AE9" s="78" t="str">
        <f t="shared" si="0"/>
        <v/>
      </c>
      <c r="AF9" s="78" t="str">
        <f t="shared" si="0"/>
        <v/>
      </c>
      <c r="AG9" s="78" t="str">
        <f t="shared" si="0"/>
        <v/>
      </c>
      <c r="AH9" s="78" t="str">
        <f t="shared" si="0"/>
        <v/>
      </c>
      <c r="AI9" s="78" t="str">
        <f t="shared" si="0"/>
        <v/>
      </c>
      <c r="AJ9" s="78" t="str">
        <f t="shared" si="0"/>
        <v/>
      </c>
      <c r="AK9" s="78" t="str">
        <f t="shared" si="0"/>
        <v/>
      </c>
      <c r="AL9" s="78" t="str">
        <f t="shared" si="0"/>
        <v/>
      </c>
      <c r="AM9" s="78" t="str">
        <f t="shared" si="0"/>
        <v/>
      </c>
      <c r="AN9" s="78" t="str">
        <f t="shared" si="0"/>
        <v/>
      </c>
      <c r="AO9" s="78" t="str">
        <f t="shared" si="0"/>
        <v/>
      </c>
      <c r="AP9" s="78" t="str">
        <f t="shared" si="0"/>
        <v/>
      </c>
      <c r="AQ9" s="78" t="str">
        <f t="shared" si="0"/>
        <v/>
      </c>
      <c r="AR9" s="78" t="str">
        <f t="shared" si="0"/>
        <v/>
      </c>
    </row>
    <row r="10" spans="2:44" ht="30" customHeight="1">
      <c r="B10" s="57">
        <f>IF('Kế hoạch triển khai'!D9="","",'Kế hoạch triển khai'!B9)</f>
        <v>2</v>
      </c>
      <c r="C10" s="60" t="str">
        <f>IF('Kế hoạch triển khai'!D9="","",'Kế hoạch triển khai'!D9)</f>
        <v>Gửi biên bản kết luận sau buổi họp</v>
      </c>
      <c r="D10" s="62" t="str">
        <f>IF('Kế hoạch triển khai'!D9="","",'Kế hoạch triển khai'!G9)</f>
        <v>Xperise</v>
      </c>
      <c r="E10" s="64" t="str">
        <f>IF('Kế hoạch triển khai'!D9="","",'Kế hoạch triển khai'!L9)</f>
        <v>17/09</v>
      </c>
      <c r="F10" s="66" t="str">
        <f>'Kế hoạch triển khai'!E9&amp;""</f>
        <v>Xperise</v>
      </c>
      <c r="G10" s="72">
        <f>IF(OR('Kế hoạch triển khai'!D9="",NOT(ISNUMBER('Kế hoạch triển khai'!J9))),"",IF('Kế hoạch triển khai'!I9="Sau ngày",'Kế hoạch triển khai'!J9+1,'Kế hoạch triển khai'!J9))</f>
        <v>46282</v>
      </c>
      <c r="H10" s="72">
        <f>IF(G10="","",IF(OR('Kế hoạch triển khai'!I9="Từ ngày trở đi",'Kế hoạch triển khai'!I9="Sau ngày"),$AR$7,IF(ISNUMBER('Kế hoạch triển khai'!K9),'Kế hoạch triển khai'!K9,G10)))</f>
        <v>46282</v>
      </c>
      <c r="I10" s="66" t="str">
        <f>'Kế hoạch triển khai'!I9&amp;""</f>
        <v>Khoảng ngày</v>
      </c>
      <c r="J10" s="66" t="str">
        <f>'Kế hoạch triển khai'!H9&amp;""</f>
        <v/>
      </c>
      <c r="K10" s="66" t="str">
        <f>'Kế hoạch triển khai'!M9&amp;""</f>
        <v>Hoàn thành</v>
      </c>
      <c r="L10" s="78" t="str">
        <f t="shared" ref="L10:AR10" si="1">IF(AND($J10="★",$H10&lt;&gt;"",L$7=$H10,$I10&lt;&gt;"Từ ngày trở đi",$I10&lt;&gt;"Sau ngày"),"★","")</f>
        <v/>
      </c>
      <c r="M10" s="78" t="str">
        <f t="shared" si="1"/>
        <v/>
      </c>
      <c r="N10" s="78" t="str">
        <f t="shared" si="1"/>
        <v/>
      </c>
      <c r="O10" s="78" t="str">
        <f t="shared" si="1"/>
        <v/>
      </c>
      <c r="P10" s="78" t="str">
        <f t="shared" si="1"/>
        <v/>
      </c>
      <c r="Q10" s="78" t="str">
        <f t="shared" si="1"/>
        <v/>
      </c>
      <c r="R10" s="78" t="str">
        <f t="shared" si="1"/>
        <v/>
      </c>
      <c r="S10" s="78" t="str">
        <f t="shared" si="1"/>
        <v/>
      </c>
      <c r="T10" s="78" t="str">
        <f t="shared" si="1"/>
        <v/>
      </c>
      <c r="U10" s="78" t="str">
        <f t="shared" si="1"/>
        <v/>
      </c>
      <c r="V10" s="78" t="str">
        <f t="shared" si="1"/>
        <v/>
      </c>
      <c r="W10" s="78" t="str">
        <f t="shared" si="1"/>
        <v/>
      </c>
      <c r="X10" s="78" t="str">
        <f t="shared" si="1"/>
        <v/>
      </c>
      <c r="Y10" s="78" t="str">
        <f t="shared" si="1"/>
        <v/>
      </c>
      <c r="Z10" s="78" t="str">
        <f t="shared" si="1"/>
        <v/>
      </c>
      <c r="AA10" s="78" t="str">
        <f t="shared" si="1"/>
        <v/>
      </c>
      <c r="AB10" s="78" t="str">
        <f t="shared" si="1"/>
        <v/>
      </c>
      <c r="AC10" s="78" t="str">
        <f t="shared" si="1"/>
        <v/>
      </c>
      <c r="AD10" s="78" t="str">
        <f t="shared" si="1"/>
        <v/>
      </c>
      <c r="AE10" s="78" t="str">
        <f t="shared" si="1"/>
        <v/>
      </c>
      <c r="AF10" s="78" t="str">
        <f t="shared" si="1"/>
        <v/>
      </c>
      <c r="AG10" s="78" t="str">
        <f t="shared" si="1"/>
        <v/>
      </c>
      <c r="AH10" s="78" t="str">
        <f t="shared" si="1"/>
        <v/>
      </c>
      <c r="AI10" s="78" t="str">
        <f t="shared" si="1"/>
        <v/>
      </c>
      <c r="AJ10" s="78" t="str">
        <f t="shared" si="1"/>
        <v/>
      </c>
      <c r="AK10" s="78" t="str">
        <f t="shared" si="1"/>
        <v/>
      </c>
      <c r="AL10" s="78" t="str">
        <f t="shared" si="1"/>
        <v/>
      </c>
      <c r="AM10" s="78" t="str">
        <f t="shared" si="1"/>
        <v/>
      </c>
      <c r="AN10" s="78" t="str">
        <f t="shared" si="1"/>
        <v/>
      </c>
      <c r="AO10" s="78" t="str">
        <f t="shared" si="1"/>
        <v/>
      </c>
      <c r="AP10" s="78" t="str">
        <f t="shared" si="1"/>
        <v/>
      </c>
      <c r="AQ10" s="78" t="str">
        <f t="shared" si="1"/>
        <v/>
      </c>
      <c r="AR10" s="78" t="str">
        <f t="shared" si="1"/>
        <v/>
      </c>
    </row>
    <row r="11" spans="2:44" ht="30" customHeight="1">
      <c r="B11" s="57">
        <f>IF('Kế hoạch triển khai'!D10="","",'Kế hoạch triển khai'!B10)</f>
        <v>3</v>
      </c>
      <c r="C11" s="60" t="str">
        <f>IF('Kế hoạch triển khai'!D10="","",'Kế hoạch triển khai'!D10)</f>
        <v>Cung cấp dữ liệu khởi tạo: chính sách công tác và phạm vi người dùng</v>
      </c>
      <c r="D11" s="62" t="str">
        <f>IF('Kế hoạch triển khai'!D10="","",'Kế hoạch triển khai'!G10)</f>
        <v>Nam Á Bank – Hành chính</v>
      </c>
      <c r="E11" s="64" t="str">
        <f>IF('Kế hoạch triển khai'!D10="","",'Kế hoạch triển khai'!L10)</f>
        <v>16/09 → 18/09</v>
      </c>
      <c r="F11" s="66" t="str">
        <f>'Kế hoạch triển khai'!E10&amp;""</f>
        <v>Nam Á Bank</v>
      </c>
      <c r="G11" s="72">
        <f>IF(OR('Kế hoạch triển khai'!D10="",NOT(ISNUMBER('Kế hoạch triển khai'!J10))),"",IF('Kế hoạch triển khai'!I10="Sau ngày",'Kế hoạch triển khai'!J10+1,'Kế hoạch triển khai'!J10))</f>
        <v>46281</v>
      </c>
      <c r="H11" s="72">
        <f>IF(G11="","",IF(OR('Kế hoạch triển khai'!I10="Từ ngày trở đi",'Kế hoạch triển khai'!I10="Sau ngày"),$AR$7,IF(ISNUMBER('Kế hoạch triển khai'!K10),'Kế hoạch triển khai'!K10,G11)))</f>
        <v>46283</v>
      </c>
      <c r="I11" s="66" t="str">
        <f>'Kế hoạch triển khai'!I10&amp;""</f>
        <v>Khoảng ngày</v>
      </c>
      <c r="J11" s="66" t="str">
        <f>'Kế hoạch triển khai'!H10&amp;""</f>
        <v>★</v>
      </c>
      <c r="K11" s="66" t="str">
        <f>'Kế hoạch triển khai'!M10&amp;""</f>
        <v>Đang làm</v>
      </c>
      <c r="L11" s="78" t="str">
        <f t="shared" ref="L11:AR11" si="2">IF(AND($J11="★",$H11&lt;&gt;"",L$7=$H11,$I11&lt;&gt;"Từ ngày trở đi",$I11&lt;&gt;"Sau ngày"),"★","")</f>
        <v/>
      </c>
      <c r="M11" s="78" t="str">
        <f t="shared" si="2"/>
        <v/>
      </c>
      <c r="N11" s="78" t="str">
        <f t="shared" si="2"/>
        <v/>
      </c>
      <c r="O11" s="78" t="str">
        <f t="shared" si="2"/>
        <v/>
      </c>
      <c r="P11" s="78" t="str">
        <f t="shared" si="2"/>
        <v>★</v>
      </c>
      <c r="Q11" s="78" t="str">
        <f t="shared" si="2"/>
        <v/>
      </c>
      <c r="R11" s="78" t="str">
        <f t="shared" si="2"/>
        <v/>
      </c>
      <c r="S11" s="78" t="str">
        <f t="shared" si="2"/>
        <v/>
      </c>
      <c r="T11" s="78" t="str">
        <f t="shared" si="2"/>
        <v/>
      </c>
      <c r="U11" s="78" t="str">
        <f t="shared" si="2"/>
        <v/>
      </c>
      <c r="V11" s="78" t="str">
        <f t="shared" si="2"/>
        <v/>
      </c>
      <c r="W11" s="78" t="str">
        <f t="shared" si="2"/>
        <v/>
      </c>
      <c r="X11" s="78" t="str">
        <f t="shared" si="2"/>
        <v/>
      </c>
      <c r="Y11" s="78" t="str">
        <f t="shared" si="2"/>
        <v/>
      </c>
      <c r="Z11" s="78" t="str">
        <f t="shared" si="2"/>
        <v/>
      </c>
      <c r="AA11" s="78" t="str">
        <f t="shared" si="2"/>
        <v/>
      </c>
      <c r="AB11" s="78" t="str">
        <f t="shared" si="2"/>
        <v/>
      </c>
      <c r="AC11" s="78" t="str">
        <f t="shared" si="2"/>
        <v/>
      </c>
      <c r="AD11" s="78" t="str">
        <f t="shared" si="2"/>
        <v/>
      </c>
      <c r="AE11" s="78" t="str">
        <f t="shared" si="2"/>
        <v/>
      </c>
      <c r="AF11" s="78" t="str">
        <f t="shared" si="2"/>
        <v/>
      </c>
      <c r="AG11" s="78" t="str">
        <f t="shared" si="2"/>
        <v/>
      </c>
      <c r="AH11" s="78" t="str">
        <f t="shared" si="2"/>
        <v/>
      </c>
      <c r="AI11" s="78" t="str">
        <f t="shared" si="2"/>
        <v/>
      </c>
      <c r="AJ11" s="78" t="str">
        <f t="shared" si="2"/>
        <v/>
      </c>
      <c r="AK11" s="78" t="str">
        <f t="shared" si="2"/>
        <v/>
      </c>
      <c r="AL11" s="78" t="str">
        <f t="shared" si="2"/>
        <v/>
      </c>
      <c r="AM11" s="78" t="str">
        <f t="shared" si="2"/>
        <v/>
      </c>
      <c r="AN11" s="78" t="str">
        <f t="shared" si="2"/>
        <v/>
      </c>
      <c r="AO11" s="78" t="str">
        <f t="shared" si="2"/>
        <v/>
      </c>
      <c r="AP11" s="78" t="str">
        <f t="shared" si="2"/>
        <v/>
      </c>
      <c r="AQ11" s="78" t="str">
        <f t="shared" si="2"/>
        <v/>
      </c>
      <c r="AR11" s="78" t="str">
        <f t="shared" si="2"/>
        <v/>
      </c>
    </row>
    <row r="12" spans="2:44" ht="30" customHeight="1">
      <c r="B12" s="57">
        <f>IF('Kế hoạch triển khai'!D11="","",'Kế hoạch triển khai'!B11)</f>
        <v>4</v>
      </c>
      <c r="C12" s="60" t="str">
        <f>IF('Kế hoạch triển khai'!D11="","",'Kế hoạch triển khai'!D11)</f>
        <v>Rà soát Hợp đồng hợp tác bản cuối</v>
      </c>
      <c r="D12" s="62" t="str">
        <f>IF('Kế hoạch triển khai'!D11="","",'Kế hoạch triển khai'!G11)</f>
        <v>Nam Á Bank – Pháp chế (cùng Xperise)</v>
      </c>
      <c r="E12" s="64" t="str">
        <f>IF('Kế hoạch triển khai'!D11="","",'Kế hoạch triển khai'!L11)</f>
        <v>16/09 → 23/09</v>
      </c>
      <c r="F12" s="66" t="str">
        <f>'Kế hoạch triển khai'!E11&amp;""</f>
        <v>Hai bên</v>
      </c>
      <c r="G12" s="72">
        <f>IF(OR('Kế hoạch triển khai'!D11="",NOT(ISNUMBER('Kế hoạch triển khai'!J11))),"",IF('Kế hoạch triển khai'!I11="Sau ngày",'Kế hoạch triển khai'!J11+1,'Kế hoạch triển khai'!J11))</f>
        <v>46281</v>
      </c>
      <c r="H12" s="72">
        <f>IF(G12="","",IF(OR('Kế hoạch triển khai'!I11="Từ ngày trở đi",'Kế hoạch triển khai'!I11="Sau ngày"),$AR$7,IF(ISNUMBER('Kế hoạch triển khai'!K11),'Kế hoạch triển khai'!K11,G12)))</f>
        <v>46288</v>
      </c>
      <c r="I12" s="66" t="str">
        <f>'Kế hoạch triển khai'!I11&amp;""</f>
        <v>Khoảng ngày</v>
      </c>
      <c r="J12" s="66" t="str">
        <f>'Kế hoạch triển khai'!H11&amp;""</f>
        <v/>
      </c>
      <c r="K12" s="66" t="str">
        <f>'Kế hoạch triển khai'!M11&amp;""</f>
        <v>Đang làm</v>
      </c>
      <c r="L12" s="78" t="str">
        <f t="shared" ref="L12:AR12" si="3">IF(AND($J12="★",$H12&lt;&gt;"",L$7=$H12,$I12&lt;&gt;"Từ ngày trở đi",$I12&lt;&gt;"Sau ngày"),"★","")</f>
        <v/>
      </c>
      <c r="M12" s="78" t="str">
        <f t="shared" si="3"/>
        <v/>
      </c>
      <c r="N12" s="78" t="str">
        <f t="shared" si="3"/>
        <v/>
      </c>
      <c r="O12" s="78" t="str">
        <f t="shared" si="3"/>
        <v/>
      </c>
      <c r="P12" s="78" t="str">
        <f t="shared" si="3"/>
        <v/>
      </c>
      <c r="Q12" s="78" t="str">
        <f t="shared" si="3"/>
        <v/>
      </c>
      <c r="R12" s="78" t="str">
        <f t="shared" si="3"/>
        <v/>
      </c>
      <c r="S12" s="78" t="str">
        <f t="shared" si="3"/>
        <v/>
      </c>
      <c r="T12" s="78" t="str">
        <f t="shared" si="3"/>
        <v/>
      </c>
      <c r="U12" s="78" t="str">
        <f t="shared" si="3"/>
        <v/>
      </c>
      <c r="V12" s="78" t="str">
        <f t="shared" si="3"/>
        <v/>
      </c>
      <c r="W12" s="78" t="str">
        <f t="shared" si="3"/>
        <v/>
      </c>
      <c r="X12" s="78" t="str">
        <f t="shared" si="3"/>
        <v/>
      </c>
      <c r="Y12" s="78" t="str">
        <f t="shared" si="3"/>
        <v/>
      </c>
      <c r="Z12" s="78" t="str">
        <f t="shared" si="3"/>
        <v/>
      </c>
      <c r="AA12" s="78" t="str">
        <f t="shared" si="3"/>
        <v/>
      </c>
      <c r="AB12" s="78" t="str">
        <f t="shared" si="3"/>
        <v/>
      </c>
      <c r="AC12" s="78" t="str">
        <f t="shared" si="3"/>
        <v/>
      </c>
      <c r="AD12" s="78" t="str">
        <f t="shared" si="3"/>
        <v/>
      </c>
      <c r="AE12" s="78" t="str">
        <f t="shared" si="3"/>
        <v/>
      </c>
      <c r="AF12" s="78" t="str">
        <f t="shared" si="3"/>
        <v/>
      </c>
      <c r="AG12" s="78" t="str">
        <f t="shared" si="3"/>
        <v/>
      </c>
      <c r="AH12" s="78" t="str">
        <f t="shared" si="3"/>
        <v/>
      </c>
      <c r="AI12" s="78" t="str">
        <f t="shared" si="3"/>
        <v/>
      </c>
      <c r="AJ12" s="78" t="str">
        <f t="shared" si="3"/>
        <v/>
      </c>
      <c r="AK12" s="78" t="str">
        <f t="shared" si="3"/>
        <v/>
      </c>
      <c r="AL12" s="78" t="str">
        <f t="shared" si="3"/>
        <v/>
      </c>
      <c r="AM12" s="78" t="str">
        <f t="shared" si="3"/>
        <v/>
      </c>
      <c r="AN12" s="78" t="str">
        <f t="shared" si="3"/>
        <v/>
      </c>
      <c r="AO12" s="78" t="str">
        <f t="shared" si="3"/>
        <v/>
      </c>
      <c r="AP12" s="78" t="str">
        <f t="shared" si="3"/>
        <v/>
      </c>
      <c r="AQ12" s="78" t="str">
        <f t="shared" si="3"/>
        <v/>
      </c>
      <c r="AR12" s="78" t="str">
        <f t="shared" si="3"/>
        <v/>
      </c>
    </row>
    <row r="13" spans="2:44" ht="30" customHeight="1">
      <c r="B13" s="57">
        <f>IF('Kế hoạch triển khai'!D12="","",'Kế hoạch triển khai'!B12)</f>
        <v>5</v>
      </c>
      <c r="C13" s="60" t="str">
        <f>IF('Kế hoạch triển khai'!D12="","",'Kế hoạch triển khai'!D12)</f>
        <v>Xperise tiếp nhận và rà soát dữ liệu khởi tạo</v>
      </c>
      <c r="D13" s="62" t="str">
        <f>IF('Kế hoạch triển khai'!D12="","",'Kế hoạch triển khai'!G12)</f>
        <v>Xperise</v>
      </c>
      <c r="E13" s="64" t="str">
        <f>IF('Kế hoạch triển khai'!D12="","",'Kế hoạch triển khai'!L12)</f>
        <v>18/09</v>
      </c>
      <c r="F13" s="66" t="str">
        <f>'Kế hoạch triển khai'!E12&amp;""</f>
        <v>Xperise</v>
      </c>
      <c r="G13" s="72">
        <f>IF(OR('Kế hoạch triển khai'!D12="",NOT(ISNUMBER('Kế hoạch triển khai'!J12))),"",IF('Kế hoạch triển khai'!I12="Sau ngày",'Kế hoạch triển khai'!J12+1,'Kế hoạch triển khai'!J12))</f>
        <v>46283</v>
      </c>
      <c r="H13" s="72">
        <f>IF(G13="","",IF(OR('Kế hoạch triển khai'!I12="Từ ngày trở đi",'Kế hoạch triển khai'!I12="Sau ngày"),$AR$7,IF(ISNUMBER('Kế hoạch triển khai'!K12),'Kế hoạch triển khai'!K12,G13)))</f>
        <v>46283</v>
      </c>
      <c r="I13" s="66" t="str">
        <f>'Kế hoạch triển khai'!I12&amp;""</f>
        <v>Khoảng ngày</v>
      </c>
      <c r="J13" s="66" t="str">
        <f>'Kế hoạch triển khai'!H12&amp;""</f>
        <v/>
      </c>
      <c r="K13" s="66" t="str">
        <f>'Kế hoạch triển khai'!M12&amp;""</f>
        <v>Đang làm</v>
      </c>
      <c r="L13" s="78" t="str">
        <f t="shared" ref="L13:AR13" si="4">IF(AND($J13="★",$H13&lt;&gt;"",L$7=$H13,$I13&lt;&gt;"Từ ngày trở đi",$I13&lt;&gt;"Sau ngày"),"★","")</f>
        <v/>
      </c>
      <c r="M13" s="78" t="str">
        <f t="shared" si="4"/>
        <v/>
      </c>
      <c r="N13" s="78" t="str">
        <f t="shared" si="4"/>
        <v/>
      </c>
      <c r="O13" s="78" t="str">
        <f t="shared" si="4"/>
        <v/>
      </c>
      <c r="P13" s="78" t="str">
        <f t="shared" si="4"/>
        <v/>
      </c>
      <c r="Q13" s="78" t="str">
        <f t="shared" si="4"/>
        <v/>
      </c>
      <c r="R13" s="78" t="str">
        <f t="shared" si="4"/>
        <v/>
      </c>
      <c r="S13" s="78" t="str">
        <f t="shared" si="4"/>
        <v/>
      </c>
      <c r="T13" s="78" t="str">
        <f t="shared" si="4"/>
        <v/>
      </c>
      <c r="U13" s="78" t="str">
        <f t="shared" si="4"/>
        <v/>
      </c>
      <c r="V13" s="78" t="str">
        <f t="shared" si="4"/>
        <v/>
      </c>
      <c r="W13" s="78" t="str">
        <f t="shared" si="4"/>
        <v/>
      </c>
      <c r="X13" s="78" t="str">
        <f t="shared" si="4"/>
        <v/>
      </c>
      <c r="Y13" s="78" t="str">
        <f t="shared" si="4"/>
        <v/>
      </c>
      <c r="Z13" s="78" t="str">
        <f t="shared" si="4"/>
        <v/>
      </c>
      <c r="AA13" s="78" t="str">
        <f t="shared" si="4"/>
        <v/>
      </c>
      <c r="AB13" s="78" t="str">
        <f t="shared" si="4"/>
        <v/>
      </c>
      <c r="AC13" s="78" t="str">
        <f t="shared" si="4"/>
        <v/>
      </c>
      <c r="AD13" s="78" t="str">
        <f t="shared" si="4"/>
        <v/>
      </c>
      <c r="AE13" s="78" t="str">
        <f t="shared" si="4"/>
        <v/>
      </c>
      <c r="AF13" s="78" t="str">
        <f t="shared" si="4"/>
        <v/>
      </c>
      <c r="AG13" s="78" t="str">
        <f t="shared" si="4"/>
        <v/>
      </c>
      <c r="AH13" s="78" t="str">
        <f t="shared" si="4"/>
        <v/>
      </c>
      <c r="AI13" s="78" t="str">
        <f t="shared" si="4"/>
        <v/>
      </c>
      <c r="AJ13" s="78" t="str">
        <f t="shared" si="4"/>
        <v/>
      </c>
      <c r="AK13" s="78" t="str">
        <f t="shared" si="4"/>
        <v/>
      </c>
      <c r="AL13" s="78" t="str">
        <f t="shared" si="4"/>
        <v/>
      </c>
      <c r="AM13" s="78" t="str">
        <f t="shared" si="4"/>
        <v/>
      </c>
      <c r="AN13" s="78" t="str">
        <f t="shared" si="4"/>
        <v/>
      </c>
      <c r="AO13" s="78" t="str">
        <f t="shared" si="4"/>
        <v/>
      </c>
      <c r="AP13" s="78" t="str">
        <f t="shared" si="4"/>
        <v/>
      </c>
      <c r="AQ13" s="78" t="str">
        <f t="shared" si="4"/>
        <v/>
      </c>
      <c r="AR13" s="78" t="str">
        <f t="shared" si="4"/>
        <v/>
      </c>
    </row>
    <row r="14" spans="2:44" ht="30" customHeight="1">
      <c r="B14" s="57">
        <f>IF('Kế hoạch triển khai'!D13="","",'Kế hoạch triển khai'!B13)</f>
        <v>6</v>
      </c>
      <c r="C14" s="60" t="str">
        <f>IF('Kế hoạch triển khai'!D13="","",'Kế hoạch triển khai'!D13)</f>
        <v>Xperise khởi tạo và cấu hình hệ thống</v>
      </c>
      <c r="D14" s="62" t="str">
        <f>IF('Kế hoạch triển khai'!D13="","",'Kế hoạch triển khai'!G13)</f>
        <v>Xperise</v>
      </c>
      <c r="E14" s="64" t="str">
        <f>IF('Kế hoạch triển khai'!D13="","",'Kế hoạch triển khai'!L13)</f>
        <v>19/09 → 21/09</v>
      </c>
      <c r="F14" s="66" t="str">
        <f>'Kế hoạch triển khai'!E13&amp;""</f>
        <v>Xperise</v>
      </c>
      <c r="G14" s="72">
        <f>IF(OR('Kế hoạch triển khai'!D13="",NOT(ISNUMBER('Kế hoạch triển khai'!J13))),"",IF('Kế hoạch triển khai'!I13="Sau ngày",'Kế hoạch triển khai'!J13+1,'Kế hoạch triển khai'!J13))</f>
        <v>46284</v>
      </c>
      <c r="H14" s="72">
        <f>IF(G14="","",IF(OR('Kế hoạch triển khai'!I13="Từ ngày trở đi",'Kế hoạch triển khai'!I13="Sau ngày"),$AR$7,IF(ISNUMBER('Kế hoạch triển khai'!K13),'Kế hoạch triển khai'!K13,G14)))</f>
        <v>46286</v>
      </c>
      <c r="I14" s="66" t="str">
        <f>'Kế hoạch triển khai'!I13&amp;""</f>
        <v>Khoảng ngày</v>
      </c>
      <c r="J14" s="66" t="str">
        <f>'Kế hoạch triển khai'!H13&amp;""</f>
        <v>★</v>
      </c>
      <c r="K14" s="66" t="str">
        <f>'Kế hoạch triển khai'!M13&amp;""</f>
        <v>Chưa bắt đầu</v>
      </c>
      <c r="L14" s="78" t="str">
        <f t="shared" ref="L14:AR14" si="5">IF(AND($J14="★",$H14&lt;&gt;"",L$7=$H14,$I14&lt;&gt;"Từ ngày trở đi",$I14&lt;&gt;"Sau ngày"),"★","")</f>
        <v/>
      </c>
      <c r="M14" s="78" t="str">
        <f t="shared" si="5"/>
        <v/>
      </c>
      <c r="N14" s="78" t="str">
        <f t="shared" si="5"/>
        <v/>
      </c>
      <c r="O14" s="78" t="str">
        <f t="shared" si="5"/>
        <v/>
      </c>
      <c r="P14" s="78" t="str">
        <f t="shared" si="5"/>
        <v/>
      </c>
      <c r="Q14" s="78" t="str">
        <f t="shared" si="5"/>
        <v/>
      </c>
      <c r="R14" s="78" t="str">
        <f t="shared" si="5"/>
        <v/>
      </c>
      <c r="S14" s="78" t="str">
        <f t="shared" si="5"/>
        <v>★</v>
      </c>
      <c r="T14" s="78" t="str">
        <f t="shared" si="5"/>
        <v/>
      </c>
      <c r="U14" s="78" t="str">
        <f t="shared" si="5"/>
        <v/>
      </c>
      <c r="V14" s="78" t="str">
        <f t="shared" si="5"/>
        <v/>
      </c>
      <c r="W14" s="78" t="str">
        <f t="shared" si="5"/>
        <v/>
      </c>
      <c r="X14" s="78" t="str">
        <f t="shared" si="5"/>
        <v/>
      </c>
      <c r="Y14" s="78" t="str">
        <f t="shared" si="5"/>
        <v/>
      </c>
      <c r="Z14" s="78" t="str">
        <f t="shared" si="5"/>
        <v/>
      </c>
      <c r="AA14" s="78" t="str">
        <f t="shared" si="5"/>
        <v/>
      </c>
      <c r="AB14" s="78" t="str">
        <f t="shared" si="5"/>
        <v/>
      </c>
      <c r="AC14" s="78" t="str">
        <f t="shared" si="5"/>
        <v/>
      </c>
      <c r="AD14" s="78" t="str">
        <f t="shared" si="5"/>
        <v/>
      </c>
      <c r="AE14" s="78" t="str">
        <f t="shared" si="5"/>
        <v/>
      </c>
      <c r="AF14" s="78" t="str">
        <f t="shared" si="5"/>
        <v/>
      </c>
      <c r="AG14" s="78" t="str">
        <f t="shared" si="5"/>
        <v/>
      </c>
      <c r="AH14" s="78" t="str">
        <f t="shared" si="5"/>
        <v/>
      </c>
      <c r="AI14" s="78" t="str">
        <f t="shared" si="5"/>
        <v/>
      </c>
      <c r="AJ14" s="78" t="str">
        <f t="shared" si="5"/>
        <v/>
      </c>
      <c r="AK14" s="78" t="str">
        <f t="shared" si="5"/>
        <v/>
      </c>
      <c r="AL14" s="78" t="str">
        <f t="shared" si="5"/>
        <v/>
      </c>
      <c r="AM14" s="78" t="str">
        <f t="shared" si="5"/>
        <v/>
      </c>
      <c r="AN14" s="78" t="str">
        <f t="shared" si="5"/>
        <v/>
      </c>
      <c r="AO14" s="78" t="str">
        <f t="shared" si="5"/>
        <v/>
      </c>
      <c r="AP14" s="78" t="str">
        <f t="shared" si="5"/>
        <v/>
      </c>
      <c r="AQ14" s="78" t="str">
        <f t="shared" si="5"/>
        <v/>
      </c>
      <c r="AR14" s="78" t="str">
        <f t="shared" si="5"/>
        <v/>
      </c>
    </row>
    <row r="15" spans="2:44" ht="30" customHeight="1">
      <c r="B15" s="57">
        <f>IF('Kế hoạch triển khai'!D14="","",'Kế hoạch triển khai'!B14)</f>
        <v>7</v>
      </c>
      <c r="C15" s="60" t="str">
        <f>IF('Kế hoạch triển khai'!D14="","",'Kế hoạch triển khai'!D14)</f>
        <v>Trình diễn hệ thống và chạy thử tình huống nghiệp vụ</v>
      </c>
      <c r="D15" s="62" t="str">
        <f>IF('Kế hoạch triển khai'!D14="","",'Kế hoạch triển khai'!G14)</f>
        <v>Nam Á Bank – Hành chính (cùng Xperise)</v>
      </c>
      <c r="E15" s="64" t="str">
        <f>IF('Kế hoạch triển khai'!D14="","",'Kế hoạch triển khai'!L14)</f>
        <v>22/09 → 23/09</v>
      </c>
      <c r="F15" s="66" t="str">
        <f>'Kế hoạch triển khai'!E14&amp;""</f>
        <v>Hai bên</v>
      </c>
      <c r="G15" s="72">
        <f>IF(OR('Kế hoạch triển khai'!D14="",NOT(ISNUMBER('Kế hoạch triển khai'!J14))),"",IF('Kế hoạch triển khai'!I14="Sau ngày",'Kế hoạch triển khai'!J14+1,'Kế hoạch triển khai'!J14))</f>
        <v>46287</v>
      </c>
      <c r="H15" s="72">
        <f>IF(G15="","",IF(OR('Kế hoạch triển khai'!I14="Từ ngày trở đi",'Kế hoạch triển khai'!I14="Sau ngày"),$AR$7,IF(ISNUMBER('Kế hoạch triển khai'!K14),'Kế hoạch triển khai'!K14,G15)))</f>
        <v>46288</v>
      </c>
      <c r="I15" s="66" t="str">
        <f>'Kế hoạch triển khai'!I14&amp;""</f>
        <v>Khoảng ngày</v>
      </c>
      <c r="J15" s="66" t="str">
        <f>'Kế hoạch triển khai'!H14&amp;""</f>
        <v>★</v>
      </c>
      <c r="K15" s="66" t="str">
        <f>'Kế hoạch triển khai'!M14&amp;""</f>
        <v>Chưa bắt đầu</v>
      </c>
      <c r="L15" s="78" t="str">
        <f t="shared" ref="L15:AR15" si="6">IF(AND($J15="★",$H15&lt;&gt;"",L$7=$H15,$I15&lt;&gt;"Từ ngày trở đi",$I15&lt;&gt;"Sau ngày"),"★","")</f>
        <v/>
      </c>
      <c r="M15" s="78" t="str">
        <f t="shared" si="6"/>
        <v/>
      </c>
      <c r="N15" s="78" t="str">
        <f t="shared" si="6"/>
        <v/>
      </c>
      <c r="O15" s="78" t="str">
        <f t="shared" si="6"/>
        <v/>
      </c>
      <c r="P15" s="78" t="str">
        <f t="shared" si="6"/>
        <v/>
      </c>
      <c r="Q15" s="78" t="str">
        <f t="shared" si="6"/>
        <v/>
      </c>
      <c r="R15" s="78" t="str">
        <f t="shared" si="6"/>
        <v/>
      </c>
      <c r="S15" s="78" t="str">
        <f t="shared" si="6"/>
        <v/>
      </c>
      <c r="T15" s="78" t="str">
        <f t="shared" si="6"/>
        <v/>
      </c>
      <c r="U15" s="78" t="str">
        <f t="shared" si="6"/>
        <v>★</v>
      </c>
      <c r="V15" s="78" t="str">
        <f t="shared" si="6"/>
        <v/>
      </c>
      <c r="W15" s="78" t="str">
        <f t="shared" si="6"/>
        <v/>
      </c>
      <c r="X15" s="78" t="str">
        <f t="shared" si="6"/>
        <v/>
      </c>
      <c r="Y15" s="78" t="str">
        <f t="shared" si="6"/>
        <v/>
      </c>
      <c r="Z15" s="78" t="str">
        <f t="shared" si="6"/>
        <v/>
      </c>
      <c r="AA15" s="78" t="str">
        <f t="shared" si="6"/>
        <v/>
      </c>
      <c r="AB15" s="78" t="str">
        <f t="shared" si="6"/>
        <v/>
      </c>
      <c r="AC15" s="78" t="str">
        <f t="shared" si="6"/>
        <v/>
      </c>
      <c r="AD15" s="78" t="str">
        <f t="shared" si="6"/>
        <v/>
      </c>
      <c r="AE15" s="78" t="str">
        <f t="shared" si="6"/>
        <v/>
      </c>
      <c r="AF15" s="78" t="str">
        <f t="shared" si="6"/>
        <v/>
      </c>
      <c r="AG15" s="78" t="str">
        <f t="shared" si="6"/>
        <v/>
      </c>
      <c r="AH15" s="78" t="str">
        <f t="shared" si="6"/>
        <v/>
      </c>
      <c r="AI15" s="78" t="str">
        <f t="shared" si="6"/>
        <v/>
      </c>
      <c r="AJ15" s="78" t="str">
        <f t="shared" si="6"/>
        <v/>
      </c>
      <c r="AK15" s="78" t="str">
        <f t="shared" si="6"/>
        <v/>
      </c>
      <c r="AL15" s="78" t="str">
        <f t="shared" si="6"/>
        <v/>
      </c>
      <c r="AM15" s="78" t="str">
        <f t="shared" si="6"/>
        <v/>
      </c>
      <c r="AN15" s="78" t="str">
        <f t="shared" si="6"/>
        <v/>
      </c>
      <c r="AO15" s="78" t="str">
        <f t="shared" si="6"/>
        <v/>
      </c>
      <c r="AP15" s="78" t="str">
        <f t="shared" si="6"/>
        <v/>
      </c>
      <c r="AQ15" s="78" t="str">
        <f t="shared" si="6"/>
        <v/>
      </c>
      <c r="AR15" s="78" t="str">
        <f t="shared" si="6"/>
        <v/>
      </c>
    </row>
    <row r="16" spans="2:44" ht="30" customHeight="1">
      <c r="B16" s="57">
        <f>IF('Kế hoạch triển khai'!D15="","",'Kế hoạch triển khai'!B15)</f>
        <v>8</v>
      </c>
      <c r="C16" s="60" t="str">
        <f>IF('Kế hoạch triển khai'!D15="","",'Kế hoạch triển khai'!D15)</f>
        <v>Thống nhất biểu mẫu bảng kê và quy trình xuất hoá đơn</v>
      </c>
      <c r="D16" s="62" t="str">
        <f>IF('Kế hoạch triển khai'!D15="","",'Kế hoạch triển khai'!G15)</f>
        <v>Nam Á Bank – Kế toán (cùng Xperise)</v>
      </c>
      <c r="E16" s="64" t="str">
        <f>IF('Kế hoạch triển khai'!D15="","",'Kế hoạch triển khai'!L15)</f>
        <v>22/09 → 23/09</v>
      </c>
      <c r="F16" s="66" t="str">
        <f>'Kế hoạch triển khai'!E15&amp;""</f>
        <v>Hai bên</v>
      </c>
      <c r="G16" s="72">
        <f>IF(OR('Kế hoạch triển khai'!D15="",NOT(ISNUMBER('Kế hoạch triển khai'!J15))),"",IF('Kế hoạch triển khai'!I15="Sau ngày",'Kế hoạch triển khai'!J15+1,'Kế hoạch triển khai'!J15))</f>
        <v>46287</v>
      </c>
      <c r="H16" s="72">
        <f>IF(G16="","",IF(OR('Kế hoạch triển khai'!I15="Từ ngày trở đi",'Kế hoạch triển khai'!I15="Sau ngày"),$AR$7,IF(ISNUMBER('Kế hoạch triển khai'!K15),'Kế hoạch triển khai'!K15,G16)))</f>
        <v>46288</v>
      </c>
      <c r="I16" s="66" t="str">
        <f>'Kế hoạch triển khai'!I15&amp;""</f>
        <v>Khoảng ngày</v>
      </c>
      <c r="J16" s="66" t="str">
        <f>'Kế hoạch triển khai'!H15&amp;""</f>
        <v/>
      </c>
      <c r="K16" s="66" t="str">
        <f>'Kế hoạch triển khai'!M15&amp;""</f>
        <v>Chưa bắt đầu</v>
      </c>
      <c r="L16" s="78" t="str">
        <f t="shared" ref="L16:AR16" si="7">IF(AND($J16="★",$H16&lt;&gt;"",L$7=$H16,$I16&lt;&gt;"Từ ngày trở đi",$I16&lt;&gt;"Sau ngày"),"★","")</f>
        <v/>
      </c>
      <c r="M16" s="78" t="str">
        <f t="shared" si="7"/>
        <v/>
      </c>
      <c r="N16" s="78" t="str">
        <f t="shared" si="7"/>
        <v/>
      </c>
      <c r="O16" s="78" t="str">
        <f t="shared" si="7"/>
        <v/>
      </c>
      <c r="P16" s="78" t="str">
        <f t="shared" si="7"/>
        <v/>
      </c>
      <c r="Q16" s="78" t="str">
        <f t="shared" si="7"/>
        <v/>
      </c>
      <c r="R16" s="78" t="str">
        <f t="shared" si="7"/>
        <v/>
      </c>
      <c r="S16" s="78" t="str">
        <f t="shared" si="7"/>
        <v/>
      </c>
      <c r="T16" s="78" t="str">
        <f t="shared" si="7"/>
        <v/>
      </c>
      <c r="U16" s="78" t="str">
        <f t="shared" si="7"/>
        <v/>
      </c>
      <c r="V16" s="78" t="str">
        <f t="shared" si="7"/>
        <v/>
      </c>
      <c r="W16" s="78" t="str">
        <f t="shared" si="7"/>
        <v/>
      </c>
      <c r="X16" s="78" t="str">
        <f t="shared" si="7"/>
        <v/>
      </c>
      <c r="Y16" s="78" t="str">
        <f t="shared" si="7"/>
        <v/>
      </c>
      <c r="Z16" s="78" t="str">
        <f t="shared" si="7"/>
        <v/>
      </c>
      <c r="AA16" s="78" t="str">
        <f t="shared" si="7"/>
        <v/>
      </c>
      <c r="AB16" s="78" t="str">
        <f t="shared" si="7"/>
        <v/>
      </c>
      <c r="AC16" s="78" t="str">
        <f t="shared" si="7"/>
        <v/>
      </c>
      <c r="AD16" s="78" t="str">
        <f t="shared" si="7"/>
        <v/>
      </c>
      <c r="AE16" s="78" t="str">
        <f t="shared" si="7"/>
        <v/>
      </c>
      <c r="AF16" s="78" t="str">
        <f t="shared" si="7"/>
        <v/>
      </c>
      <c r="AG16" s="78" t="str">
        <f t="shared" si="7"/>
        <v/>
      </c>
      <c r="AH16" s="78" t="str">
        <f t="shared" si="7"/>
        <v/>
      </c>
      <c r="AI16" s="78" t="str">
        <f t="shared" si="7"/>
        <v/>
      </c>
      <c r="AJ16" s="78" t="str">
        <f t="shared" si="7"/>
        <v/>
      </c>
      <c r="AK16" s="78" t="str">
        <f t="shared" si="7"/>
        <v/>
      </c>
      <c r="AL16" s="78" t="str">
        <f t="shared" si="7"/>
        <v/>
      </c>
      <c r="AM16" s="78" t="str">
        <f t="shared" si="7"/>
        <v/>
      </c>
      <c r="AN16" s="78" t="str">
        <f t="shared" si="7"/>
        <v/>
      </c>
      <c r="AO16" s="78" t="str">
        <f t="shared" si="7"/>
        <v/>
      </c>
      <c r="AP16" s="78" t="str">
        <f t="shared" si="7"/>
        <v/>
      </c>
      <c r="AQ16" s="78" t="str">
        <f t="shared" si="7"/>
        <v/>
      </c>
      <c r="AR16" s="78" t="str">
        <f t="shared" si="7"/>
        <v/>
      </c>
    </row>
    <row r="17" spans="2:44" ht="30" customHeight="1">
      <c r="B17" s="57">
        <f>IF('Kế hoạch triển khai'!D16="","",'Kế hoạch triển khai'!B16)</f>
        <v>9</v>
      </c>
      <c r="C17" s="60" t="str">
        <f>IF('Kế hoạch triển khai'!D16="","",'Kế hoạch triển khai'!D16)</f>
        <v>Ký kết hợp đồng và thống nhất ngày vận hành chính thức</v>
      </c>
      <c r="D17" s="62" t="str">
        <f>IF('Kế hoạch triển khai'!D16="","",'Kế hoạch triển khai'!G16)</f>
        <v>Nam Á Bank – Ban lãnh đạo (cùng Xperise)</v>
      </c>
      <c r="E17" s="64" t="str">
        <f>IF('Kế hoạch triển khai'!D16="","",'Kế hoạch triển khai'!L16)</f>
        <v>24/09 → 25/09</v>
      </c>
      <c r="F17" s="66" t="str">
        <f>'Kế hoạch triển khai'!E16&amp;""</f>
        <v>Hai bên</v>
      </c>
      <c r="G17" s="72">
        <f>IF(OR('Kế hoạch triển khai'!D16="",NOT(ISNUMBER('Kế hoạch triển khai'!J16))),"",IF('Kế hoạch triển khai'!I16="Sau ngày",'Kế hoạch triển khai'!J16+1,'Kế hoạch triển khai'!J16))</f>
        <v>46289</v>
      </c>
      <c r="H17" s="72">
        <f>IF(G17="","",IF(OR('Kế hoạch triển khai'!I16="Từ ngày trở đi",'Kế hoạch triển khai'!I16="Sau ngày"),$AR$7,IF(ISNUMBER('Kế hoạch triển khai'!K16),'Kế hoạch triển khai'!K16,G17)))</f>
        <v>46290</v>
      </c>
      <c r="I17" s="66" t="str">
        <f>'Kế hoạch triển khai'!I16&amp;""</f>
        <v>Khoảng ngày</v>
      </c>
      <c r="J17" s="66" t="str">
        <f>'Kế hoạch triển khai'!H16&amp;""</f>
        <v>★</v>
      </c>
      <c r="K17" s="66" t="str">
        <f>'Kế hoạch triển khai'!M16&amp;""</f>
        <v>Chưa bắt đầu</v>
      </c>
      <c r="L17" s="78" t="str">
        <f t="shared" ref="L17:AR17" si="8">IF(AND($J17="★",$H17&lt;&gt;"",L$7=$H17,$I17&lt;&gt;"Từ ngày trở đi",$I17&lt;&gt;"Sau ngày"),"★","")</f>
        <v/>
      </c>
      <c r="M17" s="78" t="str">
        <f t="shared" si="8"/>
        <v/>
      </c>
      <c r="N17" s="78" t="str">
        <f t="shared" si="8"/>
        <v/>
      </c>
      <c r="O17" s="78" t="str">
        <f t="shared" si="8"/>
        <v/>
      </c>
      <c r="P17" s="78" t="str">
        <f t="shared" si="8"/>
        <v/>
      </c>
      <c r="Q17" s="78" t="str">
        <f t="shared" si="8"/>
        <v/>
      </c>
      <c r="R17" s="78" t="str">
        <f t="shared" si="8"/>
        <v/>
      </c>
      <c r="S17" s="78" t="str">
        <f t="shared" si="8"/>
        <v/>
      </c>
      <c r="T17" s="78" t="str">
        <f t="shared" si="8"/>
        <v/>
      </c>
      <c r="U17" s="78" t="str">
        <f t="shared" si="8"/>
        <v/>
      </c>
      <c r="V17" s="78" t="str">
        <f t="shared" si="8"/>
        <v/>
      </c>
      <c r="W17" s="78" t="str">
        <f t="shared" si="8"/>
        <v>★</v>
      </c>
      <c r="X17" s="78" t="str">
        <f t="shared" si="8"/>
        <v/>
      </c>
      <c r="Y17" s="78" t="str">
        <f t="shared" si="8"/>
        <v/>
      </c>
      <c r="Z17" s="78" t="str">
        <f t="shared" si="8"/>
        <v/>
      </c>
      <c r="AA17" s="78" t="str">
        <f t="shared" si="8"/>
        <v/>
      </c>
      <c r="AB17" s="78" t="str">
        <f t="shared" si="8"/>
        <v/>
      </c>
      <c r="AC17" s="78" t="str">
        <f t="shared" si="8"/>
        <v/>
      </c>
      <c r="AD17" s="78" t="str">
        <f t="shared" si="8"/>
        <v/>
      </c>
      <c r="AE17" s="78" t="str">
        <f t="shared" si="8"/>
        <v/>
      </c>
      <c r="AF17" s="78" t="str">
        <f t="shared" si="8"/>
        <v/>
      </c>
      <c r="AG17" s="78" t="str">
        <f t="shared" si="8"/>
        <v/>
      </c>
      <c r="AH17" s="78" t="str">
        <f t="shared" si="8"/>
        <v/>
      </c>
      <c r="AI17" s="78" t="str">
        <f t="shared" si="8"/>
        <v/>
      </c>
      <c r="AJ17" s="78" t="str">
        <f t="shared" si="8"/>
        <v/>
      </c>
      <c r="AK17" s="78" t="str">
        <f t="shared" si="8"/>
        <v/>
      </c>
      <c r="AL17" s="78" t="str">
        <f t="shared" si="8"/>
        <v/>
      </c>
      <c r="AM17" s="78" t="str">
        <f t="shared" si="8"/>
        <v/>
      </c>
      <c r="AN17" s="78" t="str">
        <f t="shared" si="8"/>
        <v/>
      </c>
      <c r="AO17" s="78" t="str">
        <f t="shared" si="8"/>
        <v/>
      </c>
      <c r="AP17" s="78" t="str">
        <f t="shared" si="8"/>
        <v/>
      </c>
      <c r="AQ17" s="78" t="str">
        <f t="shared" si="8"/>
        <v/>
      </c>
      <c r="AR17" s="78" t="str">
        <f t="shared" si="8"/>
        <v/>
      </c>
    </row>
    <row r="18" spans="2:44" ht="30" customHeight="1">
      <c r="B18" s="57">
        <f>IF('Kế hoạch triển khai'!D17="","",'Kế hoạch triển khai'!B17)</f>
        <v>10</v>
      </c>
      <c r="C18" s="60" t="str">
        <f>IF('Kế hoạch triển khai'!D17="","",'Kế hoạch triển khai'!D17)</f>
        <v>Truyền thông và đào tạo người dùng</v>
      </c>
      <c r="D18" s="62" t="str">
        <f>IF('Kế hoạch triển khai'!D17="","",'Kế hoạch triển khai'!G17)</f>
        <v>Nam Á Bank – Hành chính (cùng Xperise)</v>
      </c>
      <c r="E18" s="64" t="str">
        <f>IF('Kế hoạch triển khai'!D17="","",'Kế hoạch triển khai'!L17)</f>
        <v>24/09 → 25/09</v>
      </c>
      <c r="F18" s="66" t="str">
        <f>'Kế hoạch triển khai'!E17&amp;""</f>
        <v>Hai bên</v>
      </c>
      <c r="G18" s="72">
        <f>IF(OR('Kế hoạch triển khai'!D17="",NOT(ISNUMBER('Kế hoạch triển khai'!J17))),"",IF('Kế hoạch triển khai'!I17="Sau ngày",'Kế hoạch triển khai'!J17+1,'Kế hoạch triển khai'!J17))</f>
        <v>46289</v>
      </c>
      <c r="H18" s="72">
        <f>IF(G18="","",IF(OR('Kế hoạch triển khai'!I17="Từ ngày trở đi",'Kế hoạch triển khai'!I17="Sau ngày"),$AR$7,IF(ISNUMBER('Kế hoạch triển khai'!K17),'Kế hoạch triển khai'!K17,G18)))</f>
        <v>46290</v>
      </c>
      <c r="I18" s="66" t="str">
        <f>'Kế hoạch triển khai'!I17&amp;""</f>
        <v>Khoảng ngày</v>
      </c>
      <c r="J18" s="66" t="str">
        <f>'Kế hoạch triển khai'!H17&amp;""</f>
        <v>★</v>
      </c>
      <c r="K18" s="66" t="str">
        <f>'Kế hoạch triển khai'!M17&amp;""</f>
        <v>Chưa bắt đầu</v>
      </c>
      <c r="L18" s="78" t="str">
        <f t="shared" ref="L18:AR18" si="9">IF(AND($J18="★",$H18&lt;&gt;"",L$7=$H18,$I18&lt;&gt;"Từ ngày trở đi",$I18&lt;&gt;"Sau ngày"),"★","")</f>
        <v/>
      </c>
      <c r="M18" s="78" t="str">
        <f t="shared" si="9"/>
        <v/>
      </c>
      <c r="N18" s="78" t="str">
        <f t="shared" si="9"/>
        <v/>
      </c>
      <c r="O18" s="78" t="str">
        <f t="shared" si="9"/>
        <v/>
      </c>
      <c r="P18" s="78" t="str">
        <f t="shared" si="9"/>
        <v/>
      </c>
      <c r="Q18" s="78" t="str">
        <f t="shared" si="9"/>
        <v/>
      </c>
      <c r="R18" s="78" t="str">
        <f t="shared" si="9"/>
        <v/>
      </c>
      <c r="S18" s="78" t="str">
        <f t="shared" si="9"/>
        <v/>
      </c>
      <c r="T18" s="78" t="str">
        <f t="shared" si="9"/>
        <v/>
      </c>
      <c r="U18" s="78" t="str">
        <f t="shared" si="9"/>
        <v/>
      </c>
      <c r="V18" s="78" t="str">
        <f t="shared" si="9"/>
        <v/>
      </c>
      <c r="W18" s="78" t="str">
        <f t="shared" si="9"/>
        <v>★</v>
      </c>
      <c r="X18" s="78" t="str">
        <f t="shared" si="9"/>
        <v/>
      </c>
      <c r="Y18" s="78" t="str">
        <f t="shared" si="9"/>
        <v/>
      </c>
      <c r="Z18" s="78" t="str">
        <f t="shared" si="9"/>
        <v/>
      </c>
      <c r="AA18" s="78" t="str">
        <f t="shared" si="9"/>
        <v/>
      </c>
      <c r="AB18" s="78" t="str">
        <f t="shared" si="9"/>
        <v/>
      </c>
      <c r="AC18" s="78" t="str">
        <f t="shared" si="9"/>
        <v/>
      </c>
      <c r="AD18" s="78" t="str">
        <f t="shared" si="9"/>
        <v/>
      </c>
      <c r="AE18" s="78" t="str">
        <f t="shared" si="9"/>
        <v/>
      </c>
      <c r="AF18" s="78" t="str">
        <f t="shared" si="9"/>
        <v/>
      </c>
      <c r="AG18" s="78" t="str">
        <f t="shared" si="9"/>
        <v/>
      </c>
      <c r="AH18" s="78" t="str">
        <f t="shared" si="9"/>
        <v/>
      </c>
      <c r="AI18" s="78" t="str">
        <f t="shared" si="9"/>
        <v/>
      </c>
      <c r="AJ18" s="78" t="str">
        <f t="shared" si="9"/>
        <v/>
      </c>
      <c r="AK18" s="78" t="str">
        <f t="shared" si="9"/>
        <v/>
      </c>
      <c r="AL18" s="78" t="str">
        <f t="shared" si="9"/>
        <v/>
      </c>
      <c r="AM18" s="78" t="str">
        <f t="shared" si="9"/>
        <v/>
      </c>
      <c r="AN18" s="78" t="str">
        <f t="shared" si="9"/>
        <v/>
      </c>
      <c r="AO18" s="78" t="str">
        <f t="shared" si="9"/>
        <v/>
      </c>
      <c r="AP18" s="78" t="str">
        <f t="shared" si="9"/>
        <v/>
      </c>
      <c r="AQ18" s="78" t="str">
        <f t="shared" si="9"/>
        <v/>
      </c>
      <c r="AR18" s="78" t="str">
        <f t="shared" si="9"/>
        <v/>
      </c>
    </row>
    <row r="19" spans="2:44" ht="30" customHeight="1">
      <c r="B19" s="57">
        <f>IF('Kế hoạch triển khai'!D18="","",'Kế hoạch triển khai'!B18)</f>
        <v>11</v>
      </c>
      <c r="C19" s="60" t="str">
        <f>IF('Kế hoạch triển khai'!D18="","",'Kế hoạch triển khai'!D18)</f>
        <v>Đưa hệ thống vào vận hành chính thức</v>
      </c>
      <c r="D19" s="62" t="str">
        <f>IF('Kế hoạch triển khai'!D18="","",'Kế hoạch triển khai'!G18)</f>
        <v>Nam Á Bank – Hành chính (cùng Xperise)</v>
      </c>
      <c r="E19" s="64" t="str">
        <f>IF('Kế hoạch triển khai'!D18="","",'Kế hoạch triển khai'!L18)</f>
        <v>28/09</v>
      </c>
      <c r="F19" s="66" t="str">
        <f>'Kế hoạch triển khai'!E18&amp;""</f>
        <v>Hai bên</v>
      </c>
      <c r="G19" s="72">
        <f>IF(OR('Kế hoạch triển khai'!D18="",NOT(ISNUMBER('Kế hoạch triển khai'!J18))),"",IF('Kế hoạch triển khai'!I18="Sau ngày",'Kế hoạch triển khai'!J18+1,'Kế hoạch triển khai'!J18))</f>
        <v>46293</v>
      </c>
      <c r="H19" s="72">
        <f>IF(G19="","",IF(OR('Kế hoạch triển khai'!I18="Từ ngày trở đi",'Kế hoạch triển khai'!I18="Sau ngày"),$AR$7,IF(ISNUMBER('Kế hoạch triển khai'!K18),'Kế hoạch triển khai'!K18,G19)))</f>
        <v>46293</v>
      </c>
      <c r="I19" s="66" t="str">
        <f>'Kế hoạch triển khai'!I18&amp;""</f>
        <v>Khoảng ngày</v>
      </c>
      <c r="J19" s="66" t="str">
        <f>'Kế hoạch triển khai'!H18&amp;""</f>
        <v>★</v>
      </c>
      <c r="K19" s="66" t="str">
        <f>'Kế hoạch triển khai'!M18&amp;""</f>
        <v>Chưa bắt đầu</v>
      </c>
      <c r="L19" s="78" t="str">
        <f t="shared" ref="L19:AR19" si="10">IF(AND($J19="★",$H19&lt;&gt;"",L$7=$H19,$I19&lt;&gt;"Từ ngày trở đi",$I19&lt;&gt;"Sau ngày"),"★","")</f>
        <v/>
      </c>
      <c r="M19" s="78" t="str">
        <f t="shared" si="10"/>
        <v/>
      </c>
      <c r="N19" s="78" t="str">
        <f t="shared" si="10"/>
        <v/>
      </c>
      <c r="O19" s="78" t="str">
        <f t="shared" si="10"/>
        <v/>
      </c>
      <c r="P19" s="78" t="str">
        <f t="shared" si="10"/>
        <v/>
      </c>
      <c r="Q19" s="78" t="str">
        <f t="shared" si="10"/>
        <v/>
      </c>
      <c r="R19" s="78" t="str">
        <f t="shared" si="10"/>
        <v/>
      </c>
      <c r="S19" s="78" t="str">
        <f t="shared" si="10"/>
        <v/>
      </c>
      <c r="T19" s="78" t="str">
        <f t="shared" si="10"/>
        <v/>
      </c>
      <c r="U19" s="78" t="str">
        <f t="shared" si="10"/>
        <v/>
      </c>
      <c r="V19" s="78" t="str">
        <f t="shared" si="10"/>
        <v/>
      </c>
      <c r="W19" s="78" t="str">
        <f t="shared" si="10"/>
        <v/>
      </c>
      <c r="X19" s="78" t="str">
        <f t="shared" si="10"/>
        <v/>
      </c>
      <c r="Y19" s="78" t="str">
        <f t="shared" si="10"/>
        <v/>
      </c>
      <c r="Z19" s="78" t="str">
        <f t="shared" si="10"/>
        <v>★</v>
      </c>
      <c r="AA19" s="78" t="str">
        <f t="shared" si="10"/>
        <v/>
      </c>
      <c r="AB19" s="78" t="str">
        <f t="shared" si="10"/>
        <v/>
      </c>
      <c r="AC19" s="78" t="str">
        <f t="shared" si="10"/>
        <v/>
      </c>
      <c r="AD19" s="78" t="str">
        <f t="shared" si="10"/>
        <v/>
      </c>
      <c r="AE19" s="78" t="str">
        <f t="shared" si="10"/>
        <v/>
      </c>
      <c r="AF19" s="78" t="str">
        <f t="shared" si="10"/>
        <v/>
      </c>
      <c r="AG19" s="78" t="str">
        <f t="shared" si="10"/>
        <v/>
      </c>
      <c r="AH19" s="78" t="str">
        <f t="shared" si="10"/>
        <v/>
      </c>
      <c r="AI19" s="78" t="str">
        <f t="shared" si="10"/>
        <v/>
      </c>
      <c r="AJ19" s="78" t="str">
        <f t="shared" si="10"/>
        <v/>
      </c>
      <c r="AK19" s="78" t="str">
        <f t="shared" si="10"/>
        <v/>
      </c>
      <c r="AL19" s="78" t="str">
        <f t="shared" si="10"/>
        <v/>
      </c>
      <c r="AM19" s="78" t="str">
        <f t="shared" si="10"/>
        <v/>
      </c>
      <c r="AN19" s="78" t="str">
        <f t="shared" si="10"/>
        <v/>
      </c>
      <c r="AO19" s="78" t="str">
        <f t="shared" si="10"/>
        <v/>
      </c>
      <c r="AP19" s="78" t="str">
        <f t="shared" si="10"/>
        <v/>
      </c>
      <c r="AQ19" s="78" t="str">
        <f t="shared" si="10"/>
        <v/>
      </c>
      <c r="AR19" s="78" t="str">
        <f t="shared" si="10"/>
        <v/>
      </c>
    </row>
    <row r="20" spans="2:44" ht="30" customHeight="1">
      <c r="B20" s="57">
        <f>IF('Kế hoạch triển khai'!D19="","",'Kế hoạch triển khai'!B19)</f>
        <v>12</v>
      </c>
      <c r="C20" s="60" t="str">
        <f>IF('Kế hoạch triển khai'!D19="","",'Kế hoạch triển khai'!D19)</f>
        <v>Hỗ trợ sau triển khai</v>
      </c>
      <c r="D20" s="62" t="str">
        <f>IF('Kế hoạch triển khai'!D19="","",'Kế hoạch triển khai'!G19)</f>
        <v>Xperise</v>
      </c>
      <c r="E20" s="64" t="str">
        <f>IF('Kế hoạch triển khai'!D19="","",'Kế hoạch triển khai'!L19)</f>
        <v>Từ 28/09 trở đi</v>
      </c>
      <c r="F20" s="66" t="str">
        <f>'Kế hoạch triển khai'!E19&amp;""</f>
        <v>Xperise</v>
      </c>
      <c r="G20" s="72">
        <f>IF(OR('Kế hoạch triển khai'!D19="",NOT(ISNUMBER('Kế hoạch triển khai'!J19))),"",IF('Kế hoạch triển khai'!I19="Sau ngày",'Kế hoạch triển khai'!J19+1,'Kế hoạch triển khai'!J19))</f>
        <v>46293</v>
      </c>
      <c r="H20" s="99">
        <f>IF(G20="","",IF(OR('Kế hoạch triển khai'!I19="Từ ngày trở đi",'Kế hoạch triển khai'!I19="Sau ngày"),$AR$7,IF(ISNUMBER('Kế hoạch triển khai'!K19),'Kế hoạch triển khai'!K19,G20)))</f>
        <v>46311</v>
      </c>
      <c r="I20" s="66" t="str">
        <f>'Kế hoạch triển khai'!I19&amp;""</f>
        <v>Từ ngày trở đi</v>
      </c>
      <c r="J20" s="66" t="str">
        <f>'Kế hoạch triển khai'!H19&amp;""</f>
        <v/>
      </c>
      <c r="K20" s="66" t="str">
        <f>'Kế hoạch triển khai'!M19&amp;""</f>
        <v>Chưa bắt đầu</v>
      </c>
      <c r="L20" s="78" t="str">
        <f t="shared" ref="L20:AR20" si="11">IF(AND($J20="★",$H20&lt;&gt;"",L$7=$H20,$I20&lt;&gt;"Từ ngày trở đi",$I20&lt;&gt;"Sau ngày"),"★","")</f>
        <v/>
      </c>
      <c r="M20" s="78" t="str">
        <f t="shared" si="11"/>
        <v/>
      </c>
      <c r="N20" s="78" t="str">
        <f t="shared" si="11"/>
        <v/>
      </c>
      <c r="O20" s="78" t="str">
        <f t="shared" si="11"/>
        <v/>
      </c>
      <c r="P20" s="78" t="str">
        <f t="shared" si="11"/>
        <v/>
      </c>
      <c r="Q20" s="78" t="str">
        <f t="shared" si="11"/>
        <v/>
      </c>
      <c r="R20" s="78" t="str">
        <f t="shared" si="11"/>
        <v/>
      </c>
      <c r="S20" s="78" t="str">
        <f t="shared" si="11"/>
        <v/>
      </c>
      <c r="T20" s="78" t="str">
        <f t="shared" si="11"/>
        <v/>
      </c>
      <c r="U20" s="78" t="str">
        <f t="shared" si="11"/>
        <v/>
      </c>
      <c r="V20" s="78" t="str">
        <f t="shared" si="11"/>
        <v/>
      </c>
      <c r="W20" s="78" t="str">
        <f t="shared" si="11"/>
        <v/>
      </c>
      <c r="X20" s="78" t="str">
        <f t="shared" si="11"/>
        <v/>
      </c>
      <c r="Y20" s="78" t="str">
        <f t="shared" si="11"/>
        <v/>
      </c>
      <c r="Z20" s="78" t="str">
        <f t="shared" si="11"/>
        <v/>
      </c>
      <c r="AA20" s="78" t="str">
        <f t="shared" si="11"/>
        <v/>
      </c>
      <c r="AB20" s="78" t="str">
        <f t="shared" si="11"/>
        <v/>
      </c>
      <c r="AC20" s="78" t="str">
        <f t="shared" si="11"/>
        <v/>
      </c>
      <c r="AD20" s="78" t="str">
        <f t="shared" si="11"/>
        <v/>
      </c>
      <c r="AE20" s="78" t="str">
        <f t="shared" si="11"/>
        <v/>
      </c>
      <c r="AF20" s="78" t="str">
        <f t="shared" si="11"/>
        <v/>
      </c>
      <c r="AG20" s="78" t="str">
        <f t="shared" si="11"/>
        <v/>
      </c>
      <c r="AH20" s="78" t="str">
        <f t="shared" si="11"/>
        <v/>
      </c>
      <c r="AI20" s="78" t="str">
        <f t="shared" si="11"/>
        <v/>
      </c>
      <c r="AJ20" s="78" t="str">
        <f t="shared" si="11"/>
        <v/>
      </c>
      <c r="AK20" s="78" t="str">
        <f t="shared" si="11"/>
        <v/>
      </c>
      <c r="AL20" s="78" t="str">
        <f t="shared" si="11"/>
        <v/>
      </c>
      <c r="AM20" s="78" t="str">
        <f t="shared" si="11"/>
        <v/>
      </c>
      <c r="AN20" s="78" t="str">
        <f t="shared" si="11"/>
        <v/>
      </c>
      <c r="AO20" s="78" t="str">
        <f t="shared" si="11"/>
        <v/>
      </c>
      <c r="AP20" s="78" t="str">
        <f t="shared" si="11"/>
        <v/>
      </c>
      <c r="AQ20" s="78" t="str">
        <f t="shared" si="11"/>
        <v/>
      </c>
      <c r="AR20" s="78" t="str">
        <f t="shared" si="11"/>
        <v/>
      </c>
    </row>
    <row r="21" spans="2:44" ht="30" customHeight="1">
      <c r="B21" s="57">
        <f>IF('Kế hoạch triển khai'!D20="","",'Kế hoạch triển khai'!B20)</f>
        <v>13</v>
      </c>
      <c r="C21" s="60" t="str">
        <f>IF('Kế hoạch triển khai'!D20="","",'Kế hoạch triển khai'!D20)</f>
        <v>Cung cấp danh sách cơ sở lưu trú thường sử dụng và hợp đồng giá</v>
      </c>
      <c r="D21" s="62" t="str">
        <f>IF('Kế hoạch triển khai'!D20="","",'Kế hoạch triển khai'!G20)</f>
        <v>Nam Á Bank – Hành chính</v>
      </c>
      <c r="E21" s="64" t="str">
        <f>IF('Kế hoạch triển khai'!D20="","",'Kế hoạch triển khai'!L20)</f>
        <v>Sau 28/09</v>
      </c>
      <c r="F21" s="66" t="str">
        <f>'Kế hoạch triển khai'!E20&amp;""</f>
        <v>Nam Á Bank</v>
      </c>
      <c r="G21" s="100">
        <f>IF(OR('Kế hoạch triển khai'!D20="",NOT(ISNUMBER('Kế hoạch triển khai'!J20))),"",IF('Kế hoạch triển khai'!I20="Sau ngày",'Kế hoạch triển khai'!J20+1,'Kế hoạch triển khai'!J20))</f>
        <v>46294</v>
      </c>
      <c r="H21" s="99">
        <f>IF(G21="","",IF(OR('Kế hoạch triển khai'!I20="Từ ngày trở đi",'Kế hoạch triển khai'!I20="Sau ngày"),$AR$7,IF(ISNUMBER('Kế hoạch triển khai'!K20),'Kế hoạch triển khai'!K20,G21)))</f>
        <v>46311</v>
      </c>
      <c r="I21" s="66" t="str">
        <f>'Kế hoạch triển khai'!I20&amp;""</f>
        <v>Sau ngày</v>
      </c>
      <c r="J21" s="66" t="str">
        <f>'Kế hoạch triển khai'!H20&amp;""</f>
        <v/>
      </c>
      <c r="K21" s="66" t="str">
        <f>'Kế hoạch triển khai'!M20&amp;""</f>
        <v>Chưa bắt đầu</v>
      </c>
      <c r="L21" s="78" t="str">
        <f t="shared" ref="L21:AR21" si="12">IF(AND($J21="★",$H21&lt;&gt;"",L$7=$H21,$I21&lt;&gt;"Từ ngày trở đi",$I21&lt;&gt;"Sau ngày"),"★","")</f>
        <v/>
      </c>
      <c r="M21" s="78" t="str">
        <f t="shared" si="12"/>
        <v/>
      </c>
      <c r="N21" s="78" t="str">
        <f t="shared" si="12"/>
        <v/>
      </c>
      <c r="O21" s="78" t="str">
        <f t="shared" si="12"/>
        <v/>
      </c>
      <c r="P21" s="78" t="str">
        <f t="shared" si="12"/>
        <v/>
      </c>
      <c r="Q21" s="78" t="str">
        <f t="shared" si="12"/>
        <v/>
      </c>
      <c r="R21" s="78" t="str">
        <f t="shared" si="12"/>
        <v/>
      </c>
      <c r="S21" s="78" t="str">
        <f t="shared" si="12"/>
        <v/>
      </c>
      <c r="T21" s="78" t="str">
        <f t="shared" si="12"/>
        <v/>
      </c>
      <c r="U21" s="78" t="str">
        <f t="shared" si="12"/>
        <v/>
      </c>
      <c r="V21" s="78" t="str">
        <f t="shared" si="12"/>
        <v/>
      </c>
      <c r="W21" s="78" t="str">
        <f t="shared" si="12"/>
        <v/>
      </c>
      <c r="X21" s="78" t="str">
        <f t="shared" si="12"/>
        <v/>
      </c>
      <c r="Y21" s="78" t="str">
        <f t="shared" si="12"/>
        <v/>
      </c>
      <c r="Z21" s="78" t="str">
        <f t="shared" si="12"/>
        <v/>
      </c>
      <c r="AA21" s="78" t="str">
        <f t="shared" si="12"/>
        <v/>
      </c>
      <c r="AB21" s="78" t="str">
        <f t="shared" si="12"/>
        <v/>
      </c>
      <c r="AC21" s="78" t="str">
        <f t="shared" si="12"/>
        <v/>
      </c>
      <c r="AD21" s="78" t="str">
        <f t="shared" si="12"/>
        <v/>
      </c>
      <c r="AE21" s="78" t="str">
        <f t="shared" si="12"/>
        <v/>
      </c>
      <c r="AF21" s="78" t="str">
        <f t="shared" si="12"/>
        <v/>
      </c>
      <c r="AG21" s="78" t="str">
        <f t="shared" si="12"/>
        <v/>
      </c>
      <c r="AH21" s="78" t="str">
        <f t="shared" si="12"/>
        <v/>
      </c>
      <c r="AI21" s="78" t="str">
        <f t="shared" si="12"/>
        <v/>
      </c>
      <c r="AJ21" s="78" t="str">
        <f t="shared" si="12"/>
        <v/>
      </c>
      <c r="AK21" s="78" t="str">
        <f t="shared" si="12"/>
        <v/>
      </c>
      <c r="AL21" s="78" t="str">
        <f t="shared" si="12"/>
        <v/>
      </c>
      <c r="AM21" s="78" t="str">
        <f t="shared" si="12"/>
        <v/>
      </c>
      <c r="AN21" s="78" t="str">
        <f t="shared" si="12"/>
        <v/>
      </c>
      <c r="AO21" s="78" t="str">
        <f t="shared" si="12"/>
        <v/>
      </c>
      <c r="AP21" s="78" t="str">
        <f t="shared" si="12"/>
        <v/>
      </c>
      <c r="AQ21" s="78" t="str">
        <f t="shared" si="12"/>
        <v/>
      </c>
      <c r="AR21" s="78" t="str">
        <f t="shared" si="12"/>
        <v/>
      </c>
    </row>
    <row r="22" spans="2:44" ht="30" customHeight="1">
      <c r="B22" s="57">
        <f>IF('Kế hoạch triển khai'!D21="","",'Kế hoạch triển khai'!B21)</f>
        <v>14</v>
      </c>
      <c r="C22" s="60" t="str">
        <f>IF('Kế hoạch triển khai'!D21="","",'Kế hoạch triển khai'!D21)</f>
        <v>Thực hiện đối soát kỳ đầu tiên</v>
      </c>
      <c r="D22" s="62" t="str">
        <f>IF('Kế hoạch triển khai'!D21="","",'Kế hoạch triển khai'!G21)</f>
        <v>Nam Á Bank – Kế toán (cùng Xperise)</v>
      </c>
      <c r="E22" s="64" t="str">
        <f>IF('Kế hoạch triển khai'!D21="","",'Kế hoạch triển khai'!L21)</f>
        <v>01/10 → 04/10</v>
      </c>
      <c r="F22" s="66" t="str">
        <f>'Kế hoạch triển khai'!E21&amp;""</f>
        <v>Hai bên</v>
      </c>
      <c r="G22" s="72">
        <f>IF(OR('Kế hoạch triển khai'!D21="",NOT(ISNUMBER('Kế hoạch triển khai'!J21))),"",IF('Kế hoạch triển khai'!I21="Sau ngày",'Kế hoạch triển khai'!J21+1,'Kế hoạch triển khai'!J21))</f>
        <v>46296</v>
      </c>
      <c r="H22" s="72">
        <f>IF(G22="","",IF(OR('Kế hoạch triển khai'!I21="Từ ngày trở đi",'Kế hoạch triển khai'!I21="Sau ngày"),$AR$7,IF(ISNUMBER('Kế hoạch triển khai'!K21),'Kế hoạch triển khai'!K21,G22)))</f>
        <v>46299</v>
      </c>
      <c r="I22" s="66" t="str">
        <f>'Kế hoạch triển khai'!I21&amp;""</f>
        <v>Khoảng ngày</v>
      </c>
      <c r="J22" s="66" t="str">
        <f>'Kế hoạch triển khai'!H21&amp;""</f>
        <v/>
      </c>
      <c r="K22" s="66" t="str">
        <f>'Kế hoạch triển khai'!M21&amp;""</f>
        <v>Chưa bắt đầu</v>
      </c>
      <c r="L22" s="78" t="str">
        <f t="shared" ref="L22:AR22" si="13">IF(AND($J22="★",$H22&lt;&gt;"",L$7=$H22,$I22&lt;&gt;"Từ ngày trở đi",$I22&lt;&gt;"Sau ngày"),"★","")</f>
        <v/>
      </c>
      <c r="M22" s="78" t="str">
        <f t="shared" si="13"/>
        <v/>
      </c>
      <c r="N22" s="78" t="str">
        <f t="shared" si="13"/>
        <v/>
      </c>
      <c r="O22" s="78" t="str">
        <f t="shared" si="13"/>
        <v/>
      </c>
      <c r="P22" s="78" t="str">
        <f t="shared" si="13"/>
        <v/>
      </c>
      <c r="Q22" s="78" t="str">
        <f t="shared" si="13"/>
        <v/>
      </c>
      <c r="R22" s="78" t="str">
        <f t="shared" si="13"/>
        <v/>
      </c>
      <c r="S22" s="78" t="str">
        <f t="shared" si="13"/>
        <v/>
      </c>
      <c r="T22" s="78" t="str">
        <f t="shared" si="13"/>
        <v/>
      </c>
      <c r="U22" s="78" t="str">
        <f t="shared" si="13"/>
        <v/>
      </c>
      <c r="V22" s="78" t="str">
        <f t="shared" si="13"/>
        <v/>
      </c>
      <c r="W22" s="78" t="str">
        <f t="shared" si="13"/>
        <v/>
      </c>
      <c r="X22" s="78" t="str">
        <f t="shared" si="13"/>
        <v/>
      </c>
      <c r="Y22" s="78" t="str">
        <f t="shared" si="13"/>
        <v/>
      </c>
      <c r="Z22" s="78" t="str">
        <f t="shared" si="13"/>
        <v/>
      </c>
      <c r="AA22" s="78" t="str">
        <f t="shared" si="13"/>
        <v/>
      </c>
      <c r="AB22" s="78" t="str">
        <f t="shared" si="13"/>
        <v/>
      </c>
      <c r="AC22" s="78" t="str">
        <f t="shared" si="13"/>
        <v/>
      </c>
      <c r="AD22" s="78" t="str">
        <f t="shared" si="13"/>
        <v/>
      </c>
      <c r="AE22" s="78" t="str">
        <f t="shared" si="13"/>
        <v/>
      </c>
      <c r="AF22" s="78" t="str">
        <f t="shared" si="13"/>
        <v/>
      </c>
      <c r="AG22" s="78" t="str">
        <f t="shared" si="13"/>
        <v/>
      </c>
      <c r="AH22" s="78" t="str">
        <f t="shared" si="13"/>
        <v/>
      </c>
      <c r="AI22" s="78" t="str">
        <f t="shared" si="13"/>
        <v/>
      </c>
      <c r="AJ22" s="78" t="str">
        <f t="shared" si="13"/>
        <v/>
      </c>
      <c r="AK22" s="78" t="str">
        <f t="shared" si="13"/>
        <v/>
      </c>
      <c r="AL22" s="78" t="str">
        <f t="shared" si="13"/>
        <v/>
      </c>
      <c r="AM22" s="78" t="str">
        <f t="shared" si="13"/>
        <v/>
      </c>
      <c r="AN22" s="78" t="str">
        <f t="shared" si="13"/>
        <v/>
      </c>
      <c r="AO22" s="78" t="str">
        <f t="shared" si="13"/>
        <v/>
      </c>
      <c r="AP22" s="78" t="str">
        <f t="shared" si="13"/>
        <v/>
      </c>
      <c r="AQ22" s="78" t="str">
        <f t="shared" si="13"/>
        <v/>
      </c>
      <c r="AR22" s="78" t="str">
        <f t="shared" si="13"/>
        <v/>
      </c>
    </row>
    <row r="23" spans="2:44" ht="30" customHeight="1">
      <c r="B23" s="57">
        <f>IF('Kế hoạch triển khai'!D22="","",'Kế hoạch triển khai'!B22)</f>
        <v>15</v>
      </c>
      <c r="C23" s="60" t="str">
        <f>IF('Kế hoạch triển khai'!D22="","",'Kế hoạch triển khai'!D22)</f>
        <v>Phát hành thư giới thiệu Xperise tới các cơ sở lưu trú</v>
      </c>
      <c r="D23" s="62" t="str">
        <f>IF('Kế hoạch triển khai'!D22="","",'Kế hoạch triển khai'!G22)</f>
        <v>Nam Á Bank – Hành chính</v>
      </c>
      <c r="E23" s="64" t="str">
        <f>IF('Kế hoạch triển khai'!D22="","",'Kế hoạch triển khai'!L22)</f>
        <v>Sau 28/09</v>
      </c>
      <c r="F23" s="66" t="str">
        <f>'Kế hoạch triển khai'!E22&amp;""</f>
        <v>Nam Á Bank</v>
      </c>
      <c r="G23" s="100">
        <f>IF(OR('Kế hoạch triển khai'!D22="",NOT(ISNUMBER('Kế hoạch triển khai'!J22))),"",IF('Kế hoạch triển khai'!I22="Sau ngày",'Kế hoạch triển khai'!J22+1,'Kế hoạch triển khai'!J22))</f>
        <v>46294</v>
      </c>
      <c r="H23" s="99">
        <f>IF(G23="","",IF(OR('Kế hoạch triển khai'!I22="Từ ngày trở đi",'Kế hoạch triển khai'!I22="Sau ngày"),$AR$7,IF(ISNUMBER('Kế hoạch triển khai'!K22),'Kế hoạch triển khai'!K22,G23)))</f>
        <v>46311</v>
      </c>
      <c r="I23" s="66" t="str">
        <f>'Kế hoạch triển khai'!I22&amp;""</f>
        <v>Sau ngày</v>
      </c>
      <c r="J23" s="66" t="str">
        <f>'Kế hoạch triển khai'!H22&amp;""</f>
        <v/>
      </c>
      <c r="K23" s="66" t="str">
        <f>'Kế hoạch triển khai'!M22&amp;""</f>
        <v>Chưa bắt đầu</v>
      </c>
      <c r="L23" s="78" t="str">
        <f t="shared" ref="L23:AR23" si="14">IF(AND($J23="★",$H23&lt;&gt;"",L$7=$H23,$I23&lt;&gt;"Từ ngày trở đi",$I23&lt;&gt;"Sau ngày"),"★","")</f>
        <v/>
      </c>
      <c r="M23" s="78" t="str">
        <f t="shared" si="14"/>
        <v/>
      </c>
      <c r="N23" s="78" t="str">
        <f t="shared" si="14"/>
        <v/>
      </c>
      <c r="O23" s="78" t="str">
        <f t="shared" si="14"/>
        <v/>
      </c>
      <c r="P23" s="78" t="str">
        <f t="shared" si="14"/>
        <v/>
      </c>
      <c r="Q23" s="78" t="str">
        <f t="shared" si="14"/>
        <v/>
      </c>
      <c r="R23" s="78" t="str">
        <f t="shared" si="14"/>
        <v/>
      </c>
      <c r="S23" s="78" t="str">
        <f t="shared" si="14"/>
        <v/>
      </c>
      <c r="T23" s="78" t="str">
        <f t="shared" si="14"/>
        <v/>
      </c>
      <c r="U23" s="78" t="str">
        <f t="shared" si="14"/>
        <v/>
      </c>
      <c r="V23" s="78" t="str">
        <f t="shared" si="14"/>
        <v/>
      </c>
      <c r="W23" s="78" t="str">
        <f t="shared" si="14"/>
        <v/>
      </c>
      <c r="X23" s="78" t="str">
        <f t="shared" si="14"/>
        <v/>
      </c>
      <c r="Y23" s="78" t="str">
        <f t="shared" si="14"/>
        <v/>
      </c>
      <c r="Z23" s="78" t="str">
        <f t="shared" si="14"/>
        <v/>
      </c>
      <c r="AA23" s="78" t="str">
        <f t="shared" si="14"/>
        <v/>
      </c>
      <c r="AB23" s="78" t="str">
        <f t="shared" si="14"/>
        <v/>
      </c>
      <c r="AC23" s="78" t="str">
        <f t="shared" si="14"/>
        <v/>
      </c>
      <c r="AD23" s="78" t="str">
        <f t="shared" si="14"/>
        <v/>
      </c>
      <c r="AE23" s="78" t="str">
        <f t="shared" si="14"/>
        <v/>
      </c>
      <c r="AF23" s="78" t="str">
        <f t="shared" si="14"/>
        <v/>
      </c>
      <c r="AG23" s="78" t="str">
        <f t="shared" si="14"/>
        <v/>
      </c>
      <c r="AH23" s="78" t="str">
        <f t="shared" si="14"/>
        <v/>
      </c>
      <c r="AI23" s="78" t="str">
        <f t="shared" si="14"/>
        <v/>
      </c>
      <c r="AJ23" s="78" t="str">
        <f t="shared" si="14"/>
        <v/>
      </c>
      <c r="AK23" s="78" t="str">
        <f t="shared" si="14"/>
        <v/>
      </c>
      <c r="AL23" s="78" t="str">
        <f t="shared" si="14"/>
        <v/>
      </c>
      <c r="AM23" s="78" t="str">
        <f t="shared" si="14"/>
        <v/>
      </c>
      <c r="AN23" s="78" t="str">
        <f t="shared" si="14"/>
        <v/>
      </c>
      <c r="AO23" s="78" t="str">
        <f t="shared" si="14"/>
        <v/>
      </c>
      <c r="AP23" s="78" t="str">
        <f t="shared" si="14"/>
        <v/>
      </c>
      <c r="AQ23" s="78" t="str">
        <f t="shared" si="14"/>
        <v/>
      </c>
      <c r="AR23" s="78" t="str">
        <f t="shared" si="14"/>
        <v/>
      </c>
    </row>
    <row r="24" spans="2:44" ht="30" customHeight="1">
      <c r="B24" s="57">
        <f>IF('Kế hoạch triển khai'!D23="","",'Kế hoạch triển khai'!B23)</f>
        <v>16</v>
      </c>
      <c r="C24" s="60" t="str">
        <f>IF('Kế hoạch triển khai'!D23="","",'Kế hoạch triển khai'!D23)</f>
        <v>Cập nhật giá thoả thuận của cơ sở lưu trú lên hệ thống</v>
      </c>
      <c r="D24" s="62" t="str">
        <f>IF('Kế hoạch triển khai'!D23="","",'Kế hoạch triển khai'!G23)</f>
        <v>Xperise</v>
      </c>
      <c r="E24" s="64" t="str">
        <f>IF('Kế hoạch triển khai'!D23="","",'Kế hoạch triển khai'!L23)</f>
        <v>28/09</v>
      </c>
      <c r="F24" s="66" t="str">
        <f>'Kế hoạch triển khai'!E23&amp;""</f>
        <v>Xperise</v>
      </c>
      <c r="G24" s="72">
        <f>IF(OR('Kế hoạch triển khai'!D23="",NOT(ISNUMBER('Kế hoạch triển khai'!J23))),"",IF('Kế hoạch triển khai'!I23="Sau ngày",'Kế hoạch triển khai'!J23+1,'Kế hoạch triển khai'!J23))</f>
        <v>46293</v>
      </c>
      <c r="H24" s="72">
        <f>IF(G24="","",IF(OR('Kế hoạch triển khai'!I23="Từ ngày trở đi",'Kế hoạch triển khai'!I23="Sau ngày"),$AR$7,IF(ISNUMBER('Kế hoạch triển khai'!K23),'Kế hoạch triển khai'!K23,G24)))</f>
        <v>46293</v>
      </c>
      <c r="I24" s="66" t="str">
        <f>'Kế hoạch triển khai'!I23&amp;""</f>
        <v>Khoảng ngày</v>
      </c>
      <c r="J24" s="66" t="str">
        <f>'Kế hoạch triển khai'!H23&amp;""</f>
        <v/>
      </c>
      <c r="K24" s="66" t="str">
        <f>'Kế hoạch triển khai'!M23&amp;""</f>
        <v>Chưa bắt đầu</v>
      </c>
      <c r="L24" s="78" t="str">
        <f t="shared" ref="L24:AR24" si="15">IF(AND($J24="★",$H24&lt;&gt;"",L$7=$H24,$I24&lt;&gt;"Từ ngày trở đi",$I24&lt;&gt;"Sau ngày"),"★","")</f>
        <v/>
      </c>
      <c r="M24" s="78" t="str">
        <f t="shared" si="15"/>
        <v/>
      </c>
      <c r="N24" s="78" t="str">
        <f t="shared" si="15"/>
        <v/>
      </c>
      <c r="O24" s="78" t="str">
        <f t="shared" si="15"/>
        <v/>
      </c>
      <c r="P24" s="78" t="str">
        <f t="shared" si="15"/>
        <v/>
      </c>
      <c r="Q24" s="78" t="str">
        <f t="shared" si="15"/>
        <v/>
      </c>
      <c r="R24" s="78" t="str">
        <f t="shared" si="15"/>
        <v/>
      </c>
      <c r="S24" s="78" t="str">
        <f t="shared" si="15"/>
        <v/>
      </c>
      <c r="T24" s="78" t="str">
        <f t="shared" si="15"/>
        <v/>
      </c>
      <c r="U24" s="78" t="str">
        <f t="shared" si="15"/>
        <v/>
      </c>
      <c r="V24" s="78" t="str">
        <f t="shared" si="15"/>
        <v/>
      </c>
      <c r="W24" s="78" t="str">
        <f t="shared" si="15"/>
        <v/>
      </c>
      <c r="X24" s="78" t="str">
        <f t="shared" si="15"/>
        <v/>
      </c>
      <c r="Y24" s="78" t="str">
        <f t="shared" si="15"/>
        <v/>
      </c>
      <c r="Z24" s="78" t="str">
        <f t="shared" si="15"/>
        <v/>
      </c>
      <c r="AA24" s="78" t="str">
        <f t="shared" si="15"/>
        <v/>
      </c>
      <c r="AB24" s="78" t="str">
        <f t="shared" si="15"/>
        <v/>
      </c>
      <c r="AC24" s="78" t="str">
        <f t="shared" si="15"/>
        <v/>
      </c>
      <c r="AD24" s="78" t="str">
        <f t="shared" si="15"/>
        <v/>
      </c>
      <c r="AE24" s="78" t="str">
        <f t="shared" si="15"/>
        <v/>
      </c>
      <c r="AF24" s="78" t="str">
        <f t="shared" si="15"/>
        <v/>
      </c>
      <c r="AG24" s="78" t="str">
        <f t="shared" si="15"/>
        <v/>
      </c>
      <c r="AH24" s="78" t="str">
        <f t="shared" si="15"/>
        <v/>
      </c>
      <c r="AI24" s="78" t="str">
        <f t="shared" si="15"/>
        <v/>
      </c>
      <c r="AJ24" s="78" t="str">
        <f t="shared" si="15"/>
        <v/>
      </c>
      <c r="AK24" s="78" t="str">
        <f t="shared" si="15"/>
        <v/>
      </c>
      <c r="AL24" s="78" t="str">
        <f t="shared" si="15"/>
        <v/>
      </c>
      <c r="AM24" s="78" t="str">
        <f t="shared" si="15"/>
        <v/>
      </c>
      <c r="AN24" s="78" t="str">
        <f t="shared" si="15"/>
        <v/>
      </c>
      <c r="AO24" s="78" t="str">
        <f t="shared" si="15"/>
        <v/>
      </c>
      <c r="AP24" s="78" t="str">
        <f t="shared" si="15"/>
        <v/>
      </c>
      <c r="AQ24" s="78" t="str">
        <f t="shared" si="15"/>
        <v/>
      </c>
      <c r="AR24" s="78" t="str">
        <f t="shared" si="15"/>
        <v/>
      </c>
    </row>
    <row r="25" spans="2:44" ht="18" customHeight="1">
      <c r="B25" s="57" t="str">
        <f>IF('Kế hoạch triển khai'!D24="","",'Kế hoạch triển khai'!B24)</f>
        <v/>
      </c>
      <c r="C25" s="60" t="str">
        <f>IF('Kế hoạch triển khai'!D24="","",'Kế hoạch triển khai'!D24)</f>
        <v/>
      </c>
      <c r="D25" s="62" t="str">
        <f>IF('Kế hoạch triển khai'!D24="","",'Kế hoạch triển khai'!G24)</f>
        <v/>
      </c>
      <c r="E25" s="64" t="str">
        <f>IF('Kế hoạch triển khai'!D24="","",'Kế hoạch triển khai'!L24)</f>
        <v/>
      </c>
      <c r="F25" s="66" t="str">
        <f>'Kế hoạch triển khai'!E24&amp;""</f>
        <v/>
      </c>
      <c r="G25" s="66" t="str">
        <f>IF(OR('Kế hoạch triển khai'!D24="",NOT(ISNUMBER('Kế hoạch triển khai'!J24))),"",IF('Kế hoạch triển khai'!I24="Sau ngày",'Kế hoạch triển khai'!J24+1,'Kế hoạch triển khai'!J24))</f>
        <v/>
      </c>
      <c r="H25" s="66" t="str">
        <f>IF(G25="","",IF(OR('Kế hoạch triển khai'!I24="Từ ngày trở đi",'Kế hoạch triển khai'!I24="Sau ngày"),$AR$7,IF(ISNUMBER('Kế hoạch triển khai'!K24),'Kế hoạch triển khai'!K24,G25)))</f>
        <v/>
      </c>
      <c r="I25" s="66" t="str">
        <f>'Kế hoạch triển khai'!I24&amp;""</f>
        <v/>
      </c>
      <c r="J25" s="66" t="str">
        <f>'Kế hoạch triển khai'!H24&amp;""</f>
        <v/>
      </c>
      <c r="K25" s="66" t="str">
        <f>'Kế hoạch triển khai'!M24&amp;""</f>
        <v/>
      </c>
      <c r="L25" s="78" t="str">
        <f t="shared" ref="L25:AR25" si="16">IF(AND($J25="★",$H25&lt;&gt;"",L$7=$H25,$I25&lt;&gt;"Từ ngày trở đi",$I25&lt;&gt;"Sau ngày"),"★","")</f>
        <v/>
      </c>
      <c r="M25" s="78" t="str">
        <f t="shared" si="16"/>
        <v/>
      </c>
      <c r="N25" s="78" t="str">
        <f t="shared" si="16"/>
        <v/>
      </c>
      <c r="O25" s="78" t="str">
        <f t="shared" si="16"/>
        <v/>
      </c>
      <c r="P25" s="78" t="str">
        <f t="shared" si="16"/>
        <v/>
      </c>
      <c r="Q25" s="78" t="str">
        <f t="shared" si="16"/>
        <v/>
      </c>
      <c r="R25" s="78" t="str">
        <f t="shared" si="16"/>
        <v/>
      </c>
      <c r="S25" s="78" t="str">
        <f t="shared" si="16"/>
        <v/>
      </c>
      <c r="T25" s="78" t="str">
        <f t="shared" si="16"/>
        <v/>
      </c>
      <c r="U25" s="78" t="str">
        <f t="shared" si="16"/>
        <v/>
      </c>
      <c r="V25" s="78" t="str">
        <f t="shared" si="16"/>
        <v/>
      </c>
      <c r="W25" s="78" t="str">
        <f t="shared" si="16"/>
        <v/>
      </c>
      <c r="X25" s="78" t="str">
        <f t="shared" si="16"/>
        <v/>
      </c>
      <c r="Y25" s="78" t="str">
        <f t="shared" si="16"/>
        <v/>
      </c>
      <c r="Z25" s="78" t="str">
        <f t="shared" si="16"/>
        <v/>
      </c>
      <c r="AA25" s="78" t="str">
        <f t="shared" si="16"/>
        <v/>
      </c>
      <c r="AB25" s="78" t="str">
        <f t="shared" si="16"/>
        <v/>
      </c>
      <c r="AC25" s="78" t="str">
        <f t="shared" si="16"/>
        <v/>
      </c>
      <c r="AD25" s="78" t="str">
        <f t="shared" si="16"/>
        <v/>
      </c>
      <c r="AE25" s="78" t="str">
        <f t="shared" si="16"/>
        <v/>
      </c>
      <c r="AF25" s="78" t="str">
        <f t="shared" si="16"/>
        <v/>
      </c>
      <c r="AG25" s="78" t="str">
        <f t="shared" si="16"/>
        <v/>
      </c>
      <c r="AH25" s="78" t="str">
        <f t="shared" si="16"/>
        <v/>
      </c>
      <c r="AI25" s="78" t="str">
        <f t="shared" si="16"/>
        <v/>
      </c>
      <c r="AJ25" s="78" t="str">
        <f t="shared" si="16"/>
        <v/>
      </c>
      <c r="AK25" s="78" t="str">
        <f t="shared" si="16"/>
        <v/>
      </c>
      <c r="AL25" s="78" t="str">
        <f t="shared" si="16"/>
        <v/>
      </c>
      <c r="AM25" s="78" t="str">
        <f t="shared" si="16"/>
        <v/>
      </c>
      <c r="AN25" s="78" t="str">
        <f t="shared" si="16"/>
        <v/>
      </c>
      <c r="AO25" s="78" t="str">
        <f t="shared" si="16"/>
        <v/>
      </c>
      <c r="AP25" s="78" t="str">
        <f t="shared" si="16"/>
        <v/>
      </c>
      <c r="AQ25" s="78" t="str">
        <f t="shared" si="16"/>
        <v/>
      </c>
      <c r="AR25" s="78" t="str">
        <f t="shared" si="16"/>
        <v/>
      </c>
    </row>
    <row r="26" spans="2:44" ht="18" customHeight="1">
      <c r="B26" s="57" t="str">
        <f>IF('Kế hoạch triển khai'!D25="","",'Kế hoạch triển khai'!B25)</f>
        <v/>
      </c>
      <c r="C26" s="60" t="str">
        <f>IF('Kế hoạch triển khai'!D25="","",'Kế hoạch triển khai'!D25)</f>
        <v/>
      </c>
      <c r="D26" s="62" t="str">
        <f>IF('Kế hoạch triển khai'!D25="","",'Kế hoạch triển khai'!G25)</f>
        <v/>
      </c>
      <c r="E26" s="64" t="str">
        <f>IF('Kế hoạch triển khai'!D25="","",'Kế hoạch triển khai'!L25)</f>
        <v/>
      </c>
      <c r="F26" s="66" t="str">
        <f>'Kế hoạch triển khai'!E25&amp;""</f>
        <v/>
      </c>
      <c r="G26" s="66" t="str">
        <f>IF(OR('Kế hoạch triển khai'!D25="",NOT(ISNUMBER('Kế hoạch triển khai'!J25))),"",IF('Kế hoạch triển khai'!I25="Sau ngày",'Kế hoạch triển khai'!J25+1,'Kế hoạch triển khai'!J25))</f>
        <v/>
      </c>
      <c r="H26" s="66" t="str">
        <f>IF(G26="","",IF(OR('Kế hoạch triển khai'!I25="Từ ngày trở đi",'Kế hoạch triển khai'!I25="Sau ngày"),$AR$7,IF(ISNUMBER('Kế hoạch triển khai'!K25),'Kế hoạch triển khai'!K25,G26)))</f>
        <v/>
      </c>
      <c r="I26" s="66" t="str">
        <f>'Kế hoạch triển khai'!I25&amp;""</f>
        <v/>
      </c>
      <c r="J26" s="66" t="str">
        <f>'Kế hoạch triển khai'!H25&amp;""</f>
        <v/>
      </c>
      <c r="K26" s="66" t="str">
        <f>'Kế hoạch triển khai'!M25&amp;""</f>
        <v/>
      </c>
      <c r="L26" s="78" t="str">
        <f t="shared" ref="L26:AR26" si="17">IF(AND($J26="★",$H26&lt;&gt;"",L$7=$H26,$I26&lt;&gt;"Từ ngày trở đi",$I26&lt;&gt;"Sau ngày"),"★","")</f>
        <v/>
      </c>
      <c r="M26" s="78" t="str">
        <f t="shared" si="17"/>
        <v/>
      </c>
      <c r="N26" s="78" t="str">
        <f t="shared" si="17"/>
        <v/>
      </c>
      <c r="O26" s="78" t="str">
        <f t="shared" si="17"/>
        <v/>
      </c>
      <c r="P26" s="78" t="str">
        <f t="shared" si="17"/>
        <v/>
      </c>
      <c r="Q26" s="78" t="str">
        <f t="shared" si="17"/>
        <v/>
      </c>
      <c r="R26" s="78" t="str">
        <f t="shared" si="17"/>
        <v/>
      </c>
      <c r="S26" s="78" t="str">
        <f t="shared" si="17"/>
        <v/>
      </c>
      <c r="T26" s="78" t="str">
        <f t="shared" si="17"/>
        <v/>
      </c>
      <c r="U26" s="78" t="str">
        <f t="shared" si="17"/>
        <v/>
      </c>
      <c r="V26" s="78" t="str">
        <f t="shared" si="17"/>
        <v/>
      </c>
      <c r="W26" s="78" t="str">
        <f t="shared" si="17"/>
        <v/>
      </c>
      <c r="X26" s="78" t="str">
        <f t="shared" si="17"/>
        <v/>
      </c>
      <c r="Y26" s="78" t="str">
        <f t="shared" si="17"/>
        <v/>
      </c>
      <c r="Z26" s="78" t="str">
        <f t="shared" si="17"/>
        <v/>
      </c>
      <c r="AA26" s="78" t="str">
        <f t="shared" si="17"/>
        <v/>
      </c>
      <c r="AB26" s="78" t="str">
        <f t="shared" si="17"/>
        <v/>
      </c>
      <c r="AC26" s="78" t="str">
        <f t="shared" si="17"/>
        <v/>
      </c>
      <c r="AD26" s="78" t="str">
        <f t="shared" si="17"/>
        <v/>
      </c>
      <c r="AE26" s="78" t="str">
        <f t="shared" si="17"/>
        <v/>
      </c>
      <c r="AF26" s="78" t="str">
        <f t="shared" si="17"/>
        <v/>
      </c>
      <c r="AG26" s="78" t="str">
        <f t="shared" si="17"/>
        <v/>
      </c>
      <c r="AH26" s="78" t="str">
        <f t="shared" si="17"/>
        <v/>
      </c>
      <c r="AI26" s="78" t="str">
        <f t="shared" si="17"/>
        <v/>
      </c>
      <c r="AJ26" s="78" t="str">
        <f t="shared" si="17"/>
        <v/>
      </c>
      <c r="AK26" s="78" t="str">
        <f t="shared" si="17"/>
        <v/>
      </c>
      <c r="AL26" s="78" t="str">
        <f t="shared" si="17"/>
        <v/>
      </c>
      <c r="AM26" s="78" t="str">
        <f t="shared" si="17"/>
        <v/>
      </c>
      <c r="AN26" s="78" t="str">
        <f t="shared" si="17"/>
        <v/>
      </c>
      <c r="AO26" s="78" t="str">
        <f t="shared" si="17"/>
        <v/>
      </c>
      <c r="AP26" s="78" t="str">
        <f t="shared" si="17"/>
        <v/>
      </c>
      <c r="AQ26" s="78" t="str">
        <f t="shared" si="17"/>
        <v/>
      </c>
      <c r="AR26" s="78" t="str">
        <f t="shared" si="17"/>
        <v/>
      </c>
    </row>
    <row r="27" spans="2:44" ht="18" customHeight="1">
      <c r="B27" s="57" t="str">
        <f>IF('Kế hoạch triển khai'!D26="","",'Kế hoạch triển khai'!B26)</f>
        <v/>
      </c>
      <c r="C27" s="60" t="str">
        <f>IF('Kế hoạch triển khai'!D26="","",'Kế hoạch triển khai'!D26)</f>
        <v/>
      </c>
      <c r="D27" s="62" t="str">
        <f>IF('Kế hoạch triển khai'!D26="","",'Kế hoạch triển khai'!G26)</f>
        <v/>
      </c>
      <c r="E27" s="64" t="str">
        <f>IF('Kế hoạch triển khai'!D26="","",'Kế hoạch triển khai'!L26)</f>
        <v/>
      </c>
      <c r="F27" s="66" t="str">
        <f>'Kế hoạch triển khai'!E26&amp;""</f>
        <v/>
      </c>
      <c r="G27" s="66" t="str">
        <f>IF(OR('Kế hoạch triển khai'!D26="",NOT(ISNUMBER('Kế hoạch triển khai'!J26))),"",IF('Kế hoạch triển khai'!I26="Sau ngày",'Kế hoạch triển khai'!J26+1,'Kế hoạch triển khai'!J26))</f>
        <v/>
      </c>
      <c r="H27" s="66" t="str">
        <f>IF(G27="","",IF(OR('Kế hoạch triển khai'!I26="Từ ngày trở đi",'Kế hoạch triển khai'!I26="Sau ngày"),$AR$7,IF(ISNUMBER('Kế hoạch triển khai'!K26),'Kế hoạch triển khai'!K26,G27)))</f>
        <v/>
      </c>
      <c r="I27" s="66" t="str">
        <f>'Kế hoạch triển khai'!I26&amp;""</f>
        <v/>
      </c>
      <c r="J27" s="66" t="str">
        <f>'Kế hoạch triển khai'!H26&amp;""</f>
        <v/>
      </c>
      <c r="K27" s="66" t="str">
        <f>'Kế hoạch triển khai'!M26&amp;""</f>
        <v/>
      </c>
      <c r="L27" s="78" t="str">
        <f t="shared" ref="L27:AR27" si="18">IF(AND($J27="★",$H27&lt;&gt;"",L$7=$H27,$I27&lt;&gt;"Từ ngày trở đi",$I27&lt;&gt;"Sau ngày"),"★","")</f>
        <v/>
      </c>
      <c r="M27" s="78" t="str">
        <f t="shared" si="18"/>
        <v/>
      </c>
      <c r="N27" s="78" t="str">
        <f t="shared" si="18"/>
        <v/>
      </c>
      <c r="O27" s="78" t="str">
        <f t="shared" si="18"/>
        <v/>
      </c>
      <c r="P27" s="78" t="str">
        <f t="shared" si="18"/>
        <v/>
      </c>
      <c r="Q27" s="78" t="str">
        <f t="shared" si="18"/>
        <v/>
      </c>
      <c r="R27" s="78" t="str">
        <f t="shared" si="18"/>
        <v/>
      </c>
      <c r="S27" s="78" t="str">
        <f t="shared" si="18"/>
        <v/>
      </c>
      <c r="T27" s="78" t="str">
        <f t="shared" si="18"/>
        <v/>
      </c>
      <c r="U27" s="78" t="str">
        <f t="shared" si="18"/>
        <v/>
      </c>
      <c r="V27" s="78" t="str">
        <f t="shared" si="18"/>
        <v/>
      </c>
      <c r="W27" s="78" t="str">
        <f t="shared" si="18"/>
        <v/>
      </c>
      <c r="X27" s="78" t="str">
        <f t="shared" si="18"/>
        <v/>
      </c>
      <c r="Y27" s="78" t="str">
        <f t="shared" si="18"/>
        <v/>
      </c>
      <c r="Z27" s="78" t="str">
        <f t="shared" si="18"/>
        <v/>
      </c>
      <c r="AA27" s="78" t="str">
        <f t="shared" si="18"/>
        <v/>
      </c>
      <c r="AB27" s="78" t="str">
        <f t="shared" si="18"/>
        <v/>
      </c>
      <c r="AC27" s="78" t="str">
        <f t="shared" si="18"/>
        <v/>
      </c>
      <c r="AD27" s="78" t="str">
        <f t="shared" si="18"/>
        <v/>
      </c>
      <c r="AE27" s="78" t="str">
        <f t="shared" si="18"/>
        <v/>
      </c>
      <c r="AF27" s="78" t="str">
        <f t="shared" si="18"/>
        <v/>
      </c>
      <c r="AG27" s="78" t="str">
        <f t="shared" si="18"/>
        <v/>
      </c>
      <c r="AH27" s="78" t="str">
        <f t="shared" si="18"/>
        <v/>
      </c>
      <c r="AI27" s="78" t="str">
        <f t="shared" si="18"/>
        <v/>
      </c>
      <c r="AJ27" s="78" t="str">
        <f t="shared" si="18"/>
        <v/>
      </c>
      <c r="AK27" s="78" t="str">
        <f t="shared" si="18"/>
        <v/>
      </c>
      <c r="AL27" s="78" t="str">
        <f t="shared" si="18"/>
        <v/>
      </c>
      <c r="AM27" s="78" t="str">
        <f t="shared" si="18"/>
        <v/>
      </c>
      <c r="AN27" s="78" t="str">
        <f t="shared" si="18"/>
        <v/>
      </c>
      <c r="AO27" s="78" t="str">
        <f t="shared" si="18"/>
        <v/>
      </c>
      <c r="AP27" s="78" t="str">
        <f t="shared" si="18"/>
        <v/>
      </c>
      <c r="AQ27" s="78" t="str">
        <f t="shared" si="18"/>
        <v/>
      </c>
      <c r="AR27" s="78" t="str">
        <f t="shared" si="18"/>
        <v/>
      </c>
    </row>
    <row r="28" spans="2:44" ht="18" customHeight="1">
      <c r="B28" s="57" t="str">
        <f>IF('Kế hoạch triển khai'!D27="","",'Kế hoạch triển khai'!B27)</f>
        <v/>
      </c>
      <c r="C28" s="60" t="str">
        <f>IF('Kế hoạch triển khai'!D27="","",'Kế hoạch triển khai'!D27)</f>
        <v/>
      </c>
      <c r="D28" s="62" t="str">
        <f>IF('Kế hoạch triển khai'!D27="","",'Kế hoạch triển khai'!G27)</f>
        <v/>
      </c>
      <c r="E28" s="64" t="str">
        <f>IF('Kế hoạch triển khai'!D27="","",'Kế hoạch triển khai'!L27)</f>
        <v/>
      </c>
      <c r="F28" s="66" t="str">
        <f>'Kế hoạch triển khai'!E27&amp;""</f>
        <v/>
      </c>
      <c r="G28" s="66" t="str">
        <f>IF(OR('Kế hoạch triển khai'!D27="",NOT(ISNUMBER('Kế hoạch triển khai'!J27))),"",IF('Kế hoạch triển khai'!I27="Sau ngày",'Kế hoạch triển khai'!J27+1,'Kế hoạch triển khai'!J27))</f>
        <v/>
      </c>
      <c r="H28" s="66" t="str">
        <f>IF(G28="","",IF(OR('Kế hoạch triển khai'!I27="Từ ngày trở đi",'Kế hoạch triển khai'!I27="Sau ngày"),$AR$7,IF(ISNUMBER('Kế hoạch triển khai'!K27),'Kế hoạch triển khai'!K27,G28)))</f>
        <v/>
      </c>
      <c r="I28" s="66" t="str">
        <f>'Kế hoạch triển khai'!I27&amp;""</f>
        <v/>
      </c>
      <c r="J28" s="66" t="str">
        <f>'Kế hoạch triển khai'!H27&amp;""</f>
        <v/>
      </c>
      <c r="K28" s="66" t="str">
        <f>'Kế hoạch triển khai'!M27&amp;""</f>
        <v/>
      </c>
      <c r="L28" s="78" t="str">
        <f t="shared" ref="L28:AR28" si="19">IF(AND($J28="★",$H28&lt;&gt;"",L$7=$H28,$I28&lt;&gt;"Từ ngày trở đi",$I28&lt;&gt;"Sau ngày"),"★","")</f>
        <v/>
      </c>
      <c r="M28" s="78" t="str">
        <f t="shared" si="19"/>
        <v/>
      </c>
      <c r="N28" s="78" t="str">
        <f t="shared" si="19"/>
        <v/>
      </c>
      <c r="O28" s="78" t="str">
        <f t="shared" si="19"/>
        <v/>
      </c>
      <c r="P28" s="78" t="str">
        <f t="shared" si="19"/>
        <v/>
      </c>
      <c r="Q28" s="78" t="str">
        <f t="shared" si="19"/>
        <v/>
      </c>
      <c r="R28" s="78" t="str">
        <f t="shared" si="19"/>
        <v/>
      </c>
      <c r="S28" s="78" t="str">
        <f t="shared" si="19"/>
        <v/>
      </c>
      <c r="T28" s="78" t="str">
        <f t="shared" si="19"/>
        <v/>
      </c>
      <c r="U28" s="78" t="str">
        <f t="shared" si="19"/>
        <v/>
      </c>
      <c r="V28" s="78" t="str">
        <f t="shared" si="19"/>
        <v/>
      </c>
      <c r="W28" s="78" t="str">
        <f t="shared" si="19"/>
        <v/>
      </c>
      <c r="X28" s="78" t="str">
        <f t="shared" si="19"/>
        <v/>
      </c>
      <c r="Y28" s="78" t="str">
        <f t="shared" si="19"/>
        <v/>
      </c>
      <c r="Z28" s="78" t="str">
        <f t="shared" si="19"/>
        <v/>
      </c>
      <c r="AA28" s="78" t="str">
        <f t="shared" si="19"/>
        <v/>
      </c>
      <c r="AB28" s="78" t="str">
        <f t="shared" si="19"/>
        <v/>
      </c>
      <c r="AC28" s="78" t="str">
        <f t="shared" si="19"/>
        <v/>
      </c>
      <c r="AD28" s="78" t="str">
        <f t="shared" si="19"/>
        <v/>
      </c>
      <c r="AE28" s="78" t="str">
        <f t="shared" si="19"/>
        <v/>
      </c>
      <c r="AF28" s="78" t="str">
        <f t="shared" si="19"/>
        <v/>
      </c>
      <c r="AG28" s="78" t="str">
        <f t="shared" si="19"/>
        <v/>
      </c>
      <c r="AH28" s="78" t="str">
        <f t="shared" si="19"/>
        <v/>
      </c>
      <c r="AI28" s="78" t="str">
        <f t="shared" si="19"/>
        <v/>
      </c>
      <c r="AJ28" s="78" t="str">
        <f t="shared" si="19"/>
        <v/>
      </c>
      <c r="AK28" s="78" t="str">
        <f t="shared" si="19"/>
        <v/>
      </c>
      <c r="AL28" s="78" t="str">
        <f t="shared" si="19"/>
        <v/>
      </c>
      <c r="AM28" s="78" t="str">
        <f t="shared" si="19"/>
        <v/>
      </c>
      <c r="AN28" s="78" t="str">
        <f t="shared" si="19"/>
        <v/>
      </c>
      <c r="AO28" s="78" t="str">
        <f t="shared" si="19"/>
        <v/>
      </c>
      <c r="AP28" s="78" t="str">
        <f t="shared" si="19"/>
        <v/>
      </c>
      <c r="AQ28" s="78" t="str">
        <f t="shared" si="19"/>
        <v/>
      </c>
      <c r="AR28" s="78" t="str">
        <f t="shared" si="19"/>
        <v/>
      </c>
    </row>
    <row r="29" spans="2:44" ht="18" customHeight="1">
      <c r="B29" s="57" t="str">
        <f>IF('Kế hoạch triển khai'!D28="","",'Kế hoạch triển khai'!B28)</f>
        <v/>
      </c>
      <c r="C29" s="60" t="str">
        <f>IF('Kế hoạch triển khai'!D28="","",'Kế hoạch triển khai'!D28)</f>
        <v/>
      </c>
      <c r="D29" s="62" t="str">
        <f>IF('Kế hoạch triển khai'!D28="","",'Kế hoạch triển khai'!G28)</f>
        <v/>
      </c>
      <c r="E29" s="64" t="str">
        <f>IF('Kế hoạch triển khai'!D28="","",'Kế hoạch triển khai'!L28)</f>
        <v/>
      </c>
      <c r="F29" s="66" t="str">
        <f>'Kế hoạch triển khai'!E28&amp;""</f>
        <v/>
      </c>
      <c r="G29" s="66" t="str">
        <f>IF(OR('Kế hoạch triển khai'!D28="",NOT(ISNUMBER('Kế hoạch triển khai'!J28))),"",IF('Kế hoạch triển khai'!I28="Sau ngày",'Kế hoạch triển khai'!J28+1,'Kế hoạch triển khai'!J28))</f>
        <v/>
      </c>
      <c r="H29" s="66" t="str">
        <f>IF(G29="","",IF(OR('Kế hoạch triển khai'!I28="Từ ngày trở đi",'Kế hoạch triển khai'!I28="Sau ngày"),$AR$7,IF(ISNUMBER('Kế hoạch triển khai'!K28),'Kế hoạch triển khai'!K28,G29)))</f>
        <v/>
      </c>
      <c r="I29" s="66" t="str">
        <f>'Kế hoạch triển khai'!I28&amp;""</f>
        <v/>
      </c>
      <c r="J29" s="66" t="str">
        <f>'Kế hoạch triển khai'!H28&amp;""</f>
        <v/>
      </c>
      <c r="K29" s="66" t="str">
        <f>'Kế hoạch triển khai'!M28&amp;""</f>
        <v/>
      </c>
      <c r="L29" s="78" t="str">
        <f t="shared" ref="L29:AR29" si="20">IF(AND($J29="★",$H29&lt;&gt;"",L$7=$H29,$I29&lt;&gt;"Từ ngày trở đi",$I29&lt;&gt;"Sau ngày"),"★","")</f>
        <v/>
      </c>
      <c r="M29" s="78" t="str">
        <f t="shared" si="20"/>
        <v/>
      </c>
      <c r="N29" s="78" t="str">
        <f t="shared" si="20"/>
        <v/>
      </c>
      <c r="O29" s="78" t="str">
        <f t="shared" si="20"/>
        <v/>
      </c>
      <c r="P29" s="78" t="str">
        <f t="shared" si="20"/>
        <v/>
      </c>
      <c r="Q29" s="78" t="str">
        <f t="shared" si="20"/>
        <v/>
      </c>
      <c r="R29" s="78" t="str">
        <f t="shared" si="20"/>
        <v/>
      </c>
      <c r="S29" s="78" t="str">
        <f t="shared" si="20"/>
        <v/>
      </c>
      <c r="T29" s="78" t="str">
        <f t="shared" si="20"/>
        <v/>
      </c>
      <c r="U29" s="78" t="str">
        <f t="shared" si="20"/>
        <v/>
      </c>
      <c r="V29" s="78" t="str">
        <f t="shared" si="20"/>
        <v/>
      </c>
      <c r="W29" s="78" t="str">
        <f t="shared" si="20"/>
        <v/>
      </c>
      <c r="X29" s="78" t="str">
        <f t="shared" si="20"/>
        <v/>
      </c>
      <c r="Y29" s="78" t="str">
        <f t="shared" si="20"/>
        <v/>
      </c>
      <c r="Z29" s="78" t="str">
        <f t="shared" si="20"/>
        <v/>
      </c>
      <c r="AA29" s="78" t="str">
        <f t="shared" si="20"/>
        <v/>
      </c>
      <c r="AB29" s="78" t="str">
        <f t="shared" si="20"/>
        <v/>
      </c>
      <c r="AC29" s="78" t="str">
        <f t="shared" si="20"/>
        <v/>
      </c>
      <c r="AD29" s="78" t="str">
        <f t="shared" si="20"/>
        <v/>
      </c>
      <c r="AE29" s="78" t="str">
        <f t="shared" si="20"/>
        <v/>
      </c>
      <c r="AF29" s="78" t="str">
        <f t="shared" si="20"/>
        <v/>
      </c>
      <c r="AG29" s="78" t="str">
        <f t="shared" si="20"/>
        <v/>
      </c>
      <c r="AH29" s="78" t="str">
        <f t="shared" si="20"/>
        <v/>
      </c>
      <c r="AI29" s="78" t="str">
        <f t="shared" si="20"/>
        <v/>
      </c>
      <c r="AJ29" s="78" t="str">
        <f t="shared" si="20"/>
        <v/>
      </c>
      <c r="AK29" s="78" t="str">
        <f t="shared" si="20"/>
        <v/>
      </c>
      <c r="AL29" s="78" t="str">
        <f t="shared" si="20"/>
        <v/>
      </c>
      <c r="AM29" s="78" t="str">
        <f t="shared" si="20"/>
        <v/>
      </c>
      <c r="AN29" s="78" t="str">
        <f t="shared" si="20"/>
        <v/>
      </c>
      <c r="AO29" s="78" t="str">
        <f t="shared" si="20"/>
        <v/>
      </c>
      <c r="AP29" s="78" t="str">
        <f t="shared" si="20"/>
        <v/>
      </c>
      <c r="AQ29" s="78" t="str">
        <f t="shared" si="20"/>
        <v/>
      </c>
      <c r="AR29" s="78" t="str">
        <f t="shared" si="20"/>
        <v/>
      </c>
    </row>
    <row r="30" spans="2:44" ht="18" customHeight="1">
      <c r="B30" s="57" t="str">
        <f>IF('Kế hoạch triển khai'!D29="","",'Kế hoạch triển khai'!B29)</f>
        <v/>
      </c>
      <c r="C30" s="60" t="str">
        <f>IF('Kế hoạch triển khai'!D29="","",'Kế hoạch triển khai'!D29)</f>
        <v/>
      </c>
      <c r="D30" s="62" t="str">
        <f>IF('Kế hoạch triển khai'!D29="","",'Kế hoạch triển khai'!G29)</f>
        <v/>
      </c>
      <c r="E30" s="64" t="str">
        <f>IF('Kế hoạch triển khai'!D29="","",'Kế hoạch triển khai'!L29)</f>
        <v/>
      </c>
      <c r="F30" s="66" t="str">
        <f>'Kế hoạch triển khai'!E29&amp;""</f>
        <v/>
      </c>
      <c r="G30" s="66" t="str">
        <f>IF(OR('Kế hoạch triển khai'!D29="",NOT(ISNUMBER('Kế hoạch triển khai'!J29))),"",IF('Kế hoạch triển khai'!I29="Sau ngày",'Kế hoạch triển khai'!J29+1,'Kế hoạch triển khai'!J29))</f>
        <v/>
      </c>
      <c r="H30" s="66" t="str">
        <f>IF(G30="","",IF(OR('Kế hoạch triển khai'!I29="Từ ngày trở đi",'Kế hoạch triển khai'!I29="Sau ngày"),$AR$7,IF(ISNUMBER('Kế hoạch triển khai'!K29),'Kế hoạch triển khai'!K29,G30)))</f>
        <v/>
      </c>
      <c r="I30" s="66" t="str">
        <f>'Kế hoạch triển khai'!I29&amp;""</f>
        <v/>
      </c>
      <c r="J30" s="66" t="str">
        <f>'Kế hoạch triển khai'!H29&amp;""</f>
        <v/>
      </c>
      <c r="K30" s="66" t="str">
        <f>'Kế hoạch triển khai'!M29&amp;""</f>
        <v/>
      </c>
      <c r="L30" s="78" t="str">
        <f t="shared" ref="L30:AR30" si="21">IF(AND($J30="★",$H30&lt;&gt;"",L$7=$H30,$I30&lt;&gt;"Từ ngày trở đi",$I30&lt;&gt;"Sau ngày"),"★","")</f>
        <v/>
      </c>
      <c r="M30" s="78" t="str">
        <f t="shared" si="21"/>
        <v/>
      </c>
      <c r="N30" s="78" t="str">
        <f t="shared" si="21"/>
        <v/>
      </c>
      <c r="O30" s="78" t="str">
        <f t="shared" si="21"/>
        <v/>
      </c>
      <c r="P30" s="78" t="str">
        <f t="shared" si="21"/>
        <v/>
      </c>
      <c r="Q30" s="78" t="str">
        <f t="shared" si="21"/>
        <v/>
      </c>
      <c r="R30" s="78" t="str">
        <f t="shared" si="21"/>
        <v/>
      </c>
      <c r="S30" s="78" t="str">
        <f t="shared" si="21"/>
        <v/>
      </c>
      <c r="T30" s="78" t="str">
        <f t="shared" si="21"/>
        <v/>
      </c>
      <c r="U30" s="78" t="str">
        <f t="shared" si="21"/>
        <v/>
      </c>
      <c r="V30" s="78" t="str">
        <f t="shared" si="21"/>
        <v/>
      </c>
      <c r="W30" s="78" t="str">
        <f t="shared" si="21"/>
        <v/>
      </c>
      <c r="X30" s="78" t="str">
        <f t="shared" si="21"/>
        <v/>
      </c>
      <c r="Y30" s="78" t="str">
        <f t="shared" si="21"/>
        <v/>
      </c>
      <c r="Z30" s="78" t="str">
        <f t="shared" si="21"/>
        <v/>
      </c>
      <c r="AA30" s="78" t="str">
        <f t="shared" si="21"/>
        <v/>
      </c>
      <c r="AB30" s="78" t="str">
        <f t="shared" si="21"/>
        <v/>
      </c>
      <c r="AC30" s="78" t="str">
        <f t="shared" si="21"/>
        <v/>
      </c>
      <c r="AD30" s="78" t="str">
        <f t="shared" si="21"/>
        <v/>
      </c>
      <c r="AE30" s="78" t="str">
        <f t="shared" si="21"/>
        <v/>
      </c>
      <c r="AF30" s="78" t="str">
        <f t="shared" si="21"/>
        <v/>
      </c>
      <c r="AG30" s="78" t="str">
        <f t="shared" si="21"/>
        <v/>
      </c>
      <c r="AH30" s="78" t="str">
        <f t="shared" si="21"/>
        <v/>
      </c>
      <c r="AI30" s="78" t="str">
        <f t="shared" si="21"/>
        <v/>
      </c>
      <c r="AJ30" s="78" t="str">
        <f t="shared" si="21"/>
        <v/>
      </c>
      <c r="AK30" s="78" t="str">
        <f t="shared" si="21"/>
        <v/>
      </c>
      <c r="AL30" s="78" t="str">
        <f t="shared" si="21"/>
        <v/>
      </c>
      <c r="AM30" s="78" t="str">
        <f t="shared" si="21"/>
        <v/>
      </c>
      <c r="AN30" s="78" t="str">
        <f t="shared" si="21"/>
        <v/>
      </c>
      <c r="AO30" s="78" t="str">
        <f t="shared" si="21"/>
        <v/>
      </c>
      <c r="AP30" s="78" t="str">
        <f t="shared" si="21"/>
        <v/>
      </c>
      <c r="AQ30" s="78" t="str">
        <f t="shared" si="21"/>
        <v/>
      </c>
      <c r="AR30" s="78" t="str">
        <f t="shared" si="21"/>
        <v/>
      </c>
    </row>
    <row r="31" spans="2:44" ht="18" customHeight="1">
      <c r="B31" s="57" t="str">
        <f>IF('Kế hoạch triển khai'!D30="","",'Kế hoạch triển khai'!B30)</f>
        <v/>
      </c>
      <c r="C31" s="60" t="str">
        <f>IF('Kế hoạch triển khai'!D30="","",'Kế hoạch triển khai'!D30)</f>
        <v/>
      </c>
      <c r="D31" s="62" t="str">
        <f>IF('Kế hoạch triển khai'!D30="","",'Kế hoạch triển khai'!G30)</f>
        <v/>
      </c>
      <c r="E31" s="64" t="str">
        <f>IF('Kế hoạch triển khai'!D30="","",'Kế hoạch triển khai'!L30)</f>
        <v/>
      </c>
      <c r="F31" s="66" t="str">
        <f>'Kế hoạch triển khai'!E30&amp;""</f>
        <v/>
      </c>
      <c r="G31" s="66" t="str">
        <f>IF(OR('Kế hoạch triển khai'!D30="",NOT(ISNUMBER('Kế hoạch triển khai'!J30))),"",IF('Kế hoạch triển khai'!I30="Sau ngày",'Kế hoạch triển khai'!J30+1,'Kế hoạch triển khai'!J30))</f>
        <v/>
      </c>
      <c r="H31" s="66" t="str">
        <f>IF(G31="","",IF(OR('Kế hoạch triển khai'!I30="Từ ngày trở đi",'Kế hoạch triển khai'!I30="Sau ngày"),$AR$7,IF(ISNUMBER('Kế hoạch triển khai'!K30),'Kế hoạch triển khai'!K30,G31)))</f>
        <v/>
      </c>
      <c r="I31" s="66" t="str">
        <f>'Kế hoạch triển khai'!I30&amp;""</f>
        <v/>
      </c>
      <c r="J31" s="66" t="str">
        <f>'Kế hoạch triển khai'!H30&amp;""</f>
        <v/>
      </c>
      <c r="K31" s="66" t="str">
        <f>'Kế hoạch triển khai'!M30&amp;""</f>
        <v/>
      </c>
      <c r="L31" s="78" t="str">
        <f t="shared" ref="L31:AR31" si="22">IF(AND($J31="★",$H31&lt;&gt;"",L$7=$H31,$I31&lt;&gt;"Từ ngày trở đi",$I31&lt;&gt;"Sau ngày"),"★","")</f>
        <v/>
      </c>
      <c r="M31" s="78" t="str">
        <f t="shared" si="22"/>
        <v/>
      </c>
      <c r="N31" s="78" t="str">
        <f t="shared" si="22"/>
        <v/>
      </c>
      <c r="O31" s="78" t="str">
        <f t="shared" si="22"/>
        <v/>
      </c>
      <c r="P31" s="78" t="str">
        <f t="shared" si="22"/>
        <v/>
      </c>
      <c r="Q31" s="78" t="str">
        <f t="shared" si="22"/>
        <v/>
      </c>
      <c r="R31" s="78" t="str">
        <f t="shared" si="22"/>
        <v/>
      </c>
      <c r="S31" s="78" t="str">
        <f t="shared" si="22"/>
        <v/>
      </c>
      <c r="T31" s="78" t="str">
        <f t="shared" si="22"/>
        <v/>
      </c>
      <c r="U31" s="78" t="str">
        <f t="shared" si="22"/>
        <v/>
      </c>
      <c r="V31" s="78" t="str">
        <f t="shared" si="22"/>
        <v/>
      </c>
      <c r="W31" s="78" t="str">
        <f t="shared" si="22"/>
        <v/>
      </c>
      <c r="X31" s="78" t="str">
        <f t="shared" si="22"/>
        <v/>
      </c>
      <c r="Y31" s="78" t="str">
        <f t="shared" si="22"/>
        <v/>
      </c>
      <c r="Z31" s="78" t="str">
        <f t="shared" si="22"/>
        <v/>
      </c>
      <c r="AA31" s="78" t="str">
        <f t="shared" si="22"/>
        <v/>
      </c>
      <c r="AB31" s="78" t="str">
        <f t="shared" si="22"/>
        <v/>
      </c>
      <c r="AC31" s="78" t="str">
        <f t="shared" si="22"/>
        <v/>
      </c>
      <c r="AD31" s="78" t="str">
        <f t="shared" si="22"/>
        <v/>
      </c>
      <c r="AE31" s="78" t="str">
        <f t="shared" si="22"/>
        <v/>
      </c>
      <c r="AF31" s="78" t="str">
        <f t="shared" si="22"/>
        <v/>
      </c>
      <c r="AG31" s="78" t="str">
        <f t="shared" si="22"/>
        <v/>
      </c>
      <c r="AH31" s="78" t="str">
        <f t="shared" si="22"/>
        <v/>
      </c>
      <c r="AI31" s="78" t="str">
        <f t="shared" si="22"/>
        <v/>
      </c>
      <c r="AJ31" s="78" t="str">
        <f t="shared" si="22"/>
        <v/>
      </c>
      <c r="AK31" s="78" t="str">
        <f t="shared" si="22"/>
        <v/>
      </c>
      <c r="AL31" s="78" t="str">
        <f t="shared" si="22"/>
        <v/>
      </c>
      <c r="AM31" s="78" t="str">
        <f t="shared" si="22"/>
        <v/>
      </c>
      <c r="AN31" s="78" t="str">
        <f t="shared" si="22"/>
        <v/>
      </c>
      <c r="AO31" s="78" t="str">
        <f t="shared" si="22"/>
        <v/>
      </c>
      <c r="AP31" s="78" t="str">
        <f t="shared" si="22"/>
        <v/>
      </c>
      <c r="AQ31" s="78" t="str">
        <f t="shared" si="22"/>
        <v/>
      </c>
      <c r="AR31" s="78" t="str">
        <f t="shared" si="22"/>
        <v/>
      </c>
    </row>
    <row r="32" spans="2:44" ht="18" customHeight="1">
      <c r="B32" s="57" t="str">
        <f>IF('Kế hoạch triển khai'!D31="","",'Kế hoạch triển khai'!B31)</f>
        <v/>
      </c>
      <c r="C32" s="60" t="str">
        <f>IF('Kế hoạch triển khai'!D31="","",'Kế hoạch triển khai'!D31)</f>
        <v/>
      </c>
      <c r="D32" s="62" t="str">
        <f>IF('Kế hoạch triển khai'!D31="","",'Kế hoạch triển khai'!G31)</f>
        <v/>
      </c>
      <c r="E32" s="64" t="str">
        <f>IF('Kế hoạch triển khai'!D31="","",'Kế hoạch triển khai'!L31)</f>
        <v/>
      </c>
      <c r="F32" s="66" t="str">
        <f>'Kế hoạch triển khai'!E31&amp;""</f>
        <v/>
      </c>
      <c r="G32" s="66" t="str">
        <f>IF(OR('Kế hoạch triển khai'!D31="",NOT(ISNUMBER('Kế hoạch triển khai'!J31))),"",IF('Kế hoạch triển khai'!I31="Sau ngày",'Kế hoạch triển khai'!J31+1,'Kế hoạch triển khai'!J31))</f>
        <v/>
      </c>
      <c r="H32" s="66" t="str">
        <f>IF(G32="","",IF(OR('Kế hoạch triển khai'!I31="Từ ngày trở đi",'Kế hoạch triển khai'!I31="Sau ngày"),$AR$7,IF(ISNUMBER('Kế hoạch triển khai'!K31),'Kế hoạch triển khai'!K31,G32)))</f>
        <v/>
      </c>
      <c r="I32" s="66" t="str">
        <f>'Kế hoạch triển khai'!I31&amp;""</f>
        <v/>
      </c>
      <c r="J32" s="66" t="str">
        <f>'Kế hoạch triển khai'!H31&amp;""</f>
        <v/>
      </c>
      <c r="K32" s="66" t="str">
        <f>'Kế hoạch triển khai'!M31&amp;""</f>
        <v/>
      </c>
      <c r="L32" s="78" t="str">
        <f t="shared" ref="L32:AR32" si="23">IF(AND($J32="★",$H32&lt;&gt;"",L$7=$H32,$I32&lt;&gt;"Từ ngày trở đi",$I32&lt;&gt;"Sau ngày"),"★","")</f>
        <v/>
      </c>
      <c r="M32" s="78" t="str">
        <f t="shared" si="23"/>
        <v/>
      </c>
      <c r="N32" s="78" t="str">
        <f t="shared" si="23"/>
        <v/>
      </c>
      <c r="O32" s="78" t="str">
        <f t="shared" si="23"/>
        <v/>
      </c>
      <c r="P32" s="78" t="str">
        <f t="shared" si="23"/>
        <v/>
      </c>
      <c r="Q32" s="78" t="str">
        <f t="shared" si="23"/>
        <v/>
      </c>
      <c r="R32" s="78" t="str">
        <f t="shared" si="23"/>
        <v/>
      </c>
      <c r="S32" s="78" t="str">
        <f t="shared" si="23"/>
        <v/>
      </c>
      <c r="T32" s="78" t="str">
        <f t="shared" si="23"/>
        <v/>
      </c>
      <c r="U32" s="78" t="str">
        <f t="shared" si="23"/>
        <v/>
      </c>
      <c r="V32" s="78" t="str">
        <f t="shared" si="23"/>
        <v/>
      </c>
      <c r="W32" s="78" t="str">
        <f t="shared" si="23"/>
        <v/>
      </c>
      <c r="X32" s="78" t="str">
        <f t="shared" si="23"/>
        <v/>
      </c>
      <c r="Y32" s="78" t="str">
        <f t="shared" si="23"/>
        <v/>
      </c>
      <c r="Z32" s="78" t="str">
        <f t="shared" si="23"/>
        <v/>
      </c>
      <c r="AA32" s="78" t="str">
        <f t="shared" si="23"/>
        <v/>
      </c>
      <c r="AB32" s="78" t="str">
        <f t="shared" si="23"/>
        <v/>
      </c>
      <c r="AC32" s="78" t="str">
        <f t="shared" si="23"/>
        <v/>
      </c>
      <c r="AD32" s="78" t="str">
        <f t="shared" si="23"/>
        <v/>
      </c>
      <c r="AE32" s="78" t="str">
        <f t="shared" si="23"/>
        <v/>
      </c>
      <c r="AF32" s="78" t="str">
        <f t="shared" si="23"/>
        <v/>
      </c>
      <c r="AG32" s="78" t="str">
        <f t="shared" si="23"/>
        <v/>
      </c>
      <c r="AH32" s="78" t="str">
        <f t="shared" si="23"/>
        <v/>
      </c>
      <c r="AI32" s="78" t="str">
        <f t="shared" si="23"/>
        <v/>
      </c>
      <c r="AJ32" s="78" t="str">
        <f t="shared" si="23"/>
        <v/>
      </c>
      <c r="AK32" s="78" t="str">
        <f t="shared" si="23"/>
        <v/>
      </c>
      <c r="AL32" s="78" t="str">
        <f t="shared" si="23"/>
        <v/>
      </c>
      <c r="AM32" s="78" t="str">
        <f t="shared" si="23"/>
        <v/>
      </c>
      <c r="AN32" s="78" t="str">
        <f t="shared" si="23"/>
        <v/>
      </c>
      <c r="AO32" s="78" t="str">
        <f t="shared" si="23"/>
        <v/>
      </c>
      <c r="AP32" s="78" t="str">
        <f t="shared" si="23"/>
        <v/>
      </c>
      <c r="AQ32" s="78" t="str">
        <f t="shared" si="23"/>
        <v/>
      </c>
      <c r="AR32" s="78" t="str">
        <f t="shared" si="23"/>
        <v/>
      </c>
    </row>
    <row r="33" spans="2:44" ht="18" customHeight="1">
      <c r="B33" s="57" t="str">
        <f>IF('Kế hoạch triển khai'!D32="","",'Kế hoạch triển khai'!B32)</f>
        <v/>
      </c>
      <c r="C33" s="60" t="str">
        <f>IF('Kế hoạch triển khai'!D32="","",'Kế hoạch triển khai'!D32)</f>
        <v/>
      </c>
      <c r="D33" s="62" t="str">
        <f>IF('Kế hoạch triển khai'!D32="","",'Kế hoạch triển khai'!G32)</f>
        <v/>
      </c>
      <c r="E33" s="64" t="str">
        <f>IF('Kế hoạch triển khai'!D32="","",'Kế hoạch triển khai'!L32)</f>
        <v/>
      </c>
      <c r="F33" s="66" t="str">
        <f>'Kế hoạch triển khai'!E32&amp;""</f>
        <v/>
      </c>
      <c r="G33" s="66" t="str">
        <f>IF(OR('Kế hoạch triển khai'!D32="",NOT(ISNUMBER('Kế hoạch triển khai'!J32))),"",IF('Kế hoạch triển khai'!I32="Sau ngày",'Kế hoạch triển khai'!J32+1,'Kế hoạch triển khai'!J32))</f>
        <v/>
      </c>
      <c r="H33" s="66" t="str">
        <f>IF(G33="","",IF(OR('Kế hoạch triển khai'!I32="Từ ngày trở đi",'Kế hoạch triển khai'!I32="Sau ngày"),$AR$7,IF(ISNUMBER('Kế hoạch triển khai'!K32),'Kế hoạch triển khai'!K32,G33)))</f>
        <v/>
      </c>
      <c r="I33" s="66" t="str">
        <f>'Kế hoạch triển khai'!I32&amp;""</f>
        <v/>
      </c>
      <c r="J33" s="66" t="str">
        <f>'Kế hoạch triển khai'!H32&amp;""</f>
        <v/>
      </c>
      <c r="K33" s="66" t="str">
        <f>'Kế hoạch triển khai'!M32&amp;""</f>
        <v/>
      </c>
      <c r="L33" s="78" t="str">
        <f t="shared" ref="L33:AR33" si="24">IF(AND($J33="★",$H33&lt;&gt;"",L$7=$H33,$I33&lt;&gt;"Từ ngày trở đi",$I33&lt;&gt;"Sau ngày"),"★","")</f>
        <v/>
      </c>
      <c r="M33" s="78" t="str">
        <f t="shared" si="24"/>
        <v/>
      </c>
      <c r="N33" s="78" t="str">
        <f t="shared" si="24"/>
        <v/>
      </c>
      <c r="O33" s="78" t="str">
        <f t="shared" si="24"/>
        <v/>
      </c>
      <c r="P33" s="78" t="str">
        <f t="shared" si="24"/>
        <v/>
      </c>
      <c r="Q33" s="78" t="str">
        <f t="shared" si="24"/>
        <v/>
      </c>
      <c r="R33" s="78" t="str">
        <f t="shared" si="24"/>
        <v/>
      </c>
      <c r="S33" s="78" t="str">
        <f t="shared" si="24"/>
        <v/>
      </c>
      <c r="T33" s="78" t="str">
        <f t="shared" si="24"/>
        <v/>
      </c>
      <c r="U33" s="78" t="str">
        <f t="shared" si="24"/>
        <v/>
      </c>
      <c r="V33" s="78" t="str">
        <f t="shared" si="24"/>
        <v/>
      </c>
      <c r="W33" s="78" t="str">
        <f t="shared" si="24"/>
        <v/>
      </c>
      <c r="X33" s="78" t="str">
        <f t="shared" si="24"/>
        <v/>
      </c>
      <c r="Y33" s="78" t="str">
        <f t="shared" si="24"/>
        <v/>
      </c>
      <c r="Z33" s="78" t="str">
        <f t="shared" si="24"/>
        <v/>
      </c>
      <c r="AA33" s="78" t="str">
        <f t="shared" si="24"/>
        <v/>
      </c>
      <c r="AB33" s="78" t="str">
        <f t="shared" si="24"/>
        <v/>
      </c>
      <c r="AC33" s="78" t="str">
        <f t="shared" si="24"/>
        <v/>
      </c>
      <c r="AD33" s="78" t="str">
        <f t="shared" si="24"/>
        <v/>
      </c>
      <c r="AE33" s="78" t="str">
        <f t="shared" si="24"/>
        <v/>
      </c>
      <c r="AF33" s="78" t="str">
        <f t="shared" si="24"/>
        <v/>
      </c>
      <c r="AG33" s="78" t="str">
        <f t="shared" si="24"/>
        <v/>
      </c>
      <c r="AH33" s="78" t="str">
        <f t="shared" si="24"/>
        <v/>
      </c>
      <c r="AI33" s="78" t="str">
        <f t="shared" si="24"/>
        <v/>
      </c>
      <c r="AJ33" s="78" t="str">
        <f t="shared" si="24"/>
        <v/>
      </c>
      <c r="AK33" s="78" t="str">
        <f t="shared" si="24"/>
        <v/>
      </c>
      <c r="AL33" s="78" t="str">
        <f t="shared" si="24"/>
        <v/>
      </c>
      <c r="AM33" s="78" t="str">
        <f t="shared" si="24"/>
        <v/>
      </c>
      <c r="AN33" s="78" t="str">
        <f t="shared" si="24"/>
        <v/>
      </c>
      <c r="AO33" s="78" t="str">
        <f t="shared" si="24"/>
        <v/>
      </c>
      <c r="AP33" s="78" t="str">
        <f t="shared" si="24"/>
        <v/>
      </c>
      <c r="AQ33" s="78" t="str">
        <f t="shared" si="24"/>
        <v/>
      </c>
      <c r="AR33" s="78" t="str">
        <f t="shared" si="24"/>
        <v/>
      </c>
    </row>
    <row r="34" spans="2:44" ht="18" customHeight="1">
      <c r="B34" s="57" t="str">
        <f>IF('Kế hoạch triển khai'!D33="","",'Kế hoạch triển khai'!B33)</f>
        <v/>
      </c>
      <c r="C34" s="60" t="str">
        <f>IF('Kế hoạch triển khai'!D33="","",'Kế hoạch triển khai'!D33)</f>
        <v/>
      </c>
      <c r="D34" s="62" t="str">
        <f>IF('Kế hoạch triển khai'!D33="","",'Kế hoạch triển khai'!G33)</f>
        <v/>
      </c>
      <c r="E34" s="64" t="str">
        <f>IF('Kế hoạch triển khai'!D33="","",'Kế hoạch triển khai'!L33)</f>
        <v/>
      </c>
      <c r="F34" s="66" t="str">
        <f>'Kế hoạch triển khai'!E33&amp;""</f>
        <v/>
      </c>
      <c r="G34" s="66" t="str">
        <f>IF(OR('Kế hoạch triển khai'!D33="",NOT(ISNUMBER('Kế hoạch triển khai'!J33))),"",IF('Kế hoạch triển khai'!I33="Sau ngày",'Kế hoạch triển khai'!J33+1,'Kế hoạch triển khai'!J33))</f>
        <v/>
      </c>
      <c r="H34" s="66" t="str">
        <f>IF(G34="","",IF(OR('Kế hoạch triển khai'!I33="Từ ngày trở đi",'Kế hoạch triển khai'!I33="Sau ngày"),$AR$7,IF(ISNUMBER('Kế hoạch triển khai'!K33),'Kế hoạch triển khai'!K33,G34)))</f>
        <v/>
      </c>
      <c r="I34" s="66" t="str">
        <f>'Kế hoạch triển khai'!I33&amp;""</f>
        <v/>
      </c>
      <c r="J34" s="66" t="str">
        <f>'Kế hoạch triển khai'!H33&amp;""</f>
        <v/>
      </c>
      <c r="K34" s="66" t="str">
        <f>'Kế hoạch triển khai'!M33&amp;""</f>
        <v/>
      </c>
      <c r="L34" s="78" t="str">
        <f t="shared" ref="L34:AR34" si="25">IF(AND($J34="★",$H34&lt;&gt;"",L$7=$H34,$I34&lt;&gt;"Từ ngày trở đi",$I34&lt;&gt;"Sau ngày"),"★","")</f>
        <v/>
      </c>
      <c r="M34" s="78" t="str">
        <f t="shared" si="25"/>
        <v/>
      </c>
      <c r="N34" s="78" t="str">
        <f t="shared" si="25"/>
        <v/>
      </c>
      <c r="O34" s="78" t="str">
        <f t="shared" si="25"/>
        <v/>
      </c>
      <c r="P34" s="78" t="str">
        <f t="shared" si="25"/>
        <v/>
      </c>
      <c r="Q34" s="78" t="str">
        <f t="shared" si="25"/>
        <v/>
      </c>
      <c r="R34" s="78" t="str">
        <f t="shared" si="25"/>
        <v/>
      </c>
      <c r="S34" s="78" t="str">
        <f t="shared" si="25"/>
        <v/>
      </c>
      <c r="T34" s="78" t="str">
        <f t="shared" si="25"/>
        <v/>
      </c>
      <c r="U34" s="78" t="str">
        <f t="shared" si="25"/>
        <v/>
      </c>
      <c r="V34" s="78" t="str">
        <f t="shared" si="25"/>
        <v/>
      </c>
      <c r="W34" s="78" t="str">
        <f t="shared" si="25"/>
        <v/>
      </c>
      <c r="X34" s="78" t="str">
        <f t="shared" si="25"/>
        <v/>
      </c>
      <c r="Y34" s="78" t="str">
        <f t="shared" si="25"/>
        <v/>
      </c>
      <c r="Z34" s="78" t="str">
        <f t="shared" si="25"/>
        <v/>
      </c>
      <c r="AA34" s="78" t="str">
        <f t="shared" si="25"/>
        <v/>
      </c>
      <c r="AB34" s="78" t="str">
        <f t="shared" si="25"/>
        <v/>
      </c>
      <c r="AC34" s="78" t="str">
        <f t="shared" si="25"/>
        <v/>
      </c>
      <c r="AD34" s="78" t="str">
        <f t="shared" si="25"/>
        <v/>
      </c>
      <c r="AE34" s="78" t="str">
        <f t="shared" si="25"/>
        <v/>
      </c>
      <c r="AF34" s="78" t="str">
        <f t="shared" si="25"/>
        <v/>
      </c>
      <c r="AG34" s="78" t="str">
        <f t="shared" si="25"/>
        <v/>
      </c>
      <c r="AH34" s="78" t="str">
        <f t="shared" si="25"/>
        <v/>
      </c>
      <c r="AI34" s="78" t="str">
        <f t="shared" si="25"/>
        <v/>
      </c>
      <c r="AJ34" s="78" t="str">
        <f t="shared" si="25"/>
        <v/>
      </c>
      <c r="AK34" s="78" t="str">
        <f t="shared" si="25"/>
        <v/>
      </c>
      <c r="AL34" s="78" t="str">
        <f t="shared" si="25"/>
        <v/>
      </c>
      <c r="AM34" s="78" t="str">
        <f t="shared" si="25"/>
        <v/>
      </c>
      <c r="AN34" s="78" t="str">
        <f t="shared" si="25"/>
        <v/>
      </c>
      <c r="AO34" s="78" t="str">
        <f t="shared" si="25"/>
        <v/>
      </c>
      <c r="AP34" s="78" t="str">
        <f t="shared" si="25"/>
        <v/>
      </c>
      <c r="AQ34" s="78" t="str">
        <f t="shared" si="25"/>
        <v/>
      </c>
      <c r="AR34" s="78" t="str">
        <f t="shared" si="25"/>
        <v/>
      </c>
    </row>
    <row r="35" spans="2:44" ht="15.75" customHeight="1"/>
    <row r="36" spans="2:44" ht="42" customHeight="1">
      <c r="B36" s="135" t="s">
        <v>187</v>
      </c>
      <c r="C36" s="107"/>
      <c r="D36" s="107"/>
      <c r="E36" s="107"/>
    </row>
    <row r="37" spans="2:44" ht="15.75" customHeight="1"/>
    <row r="38" spans="2:44" ht="15.75" customHeight="1"/>
    <row r="39" spans="2:44" ht="15.75" customHeight="1"/>
    <row r="40" spans="2:44" ht="15.75" customHeight="1"/>
    <row r="41" spans="2:44" ht="15.75" customHeight="1"/>
    <row r="42" spans="2:44" ht="15.75" customHeight="1"/>
    <row r="43" spans="2:44" ht="15.75" customHeight="1"/>
    <row r="44" spans="2:44" ht="15.75" customHeight="1"/>
    <row r="45" spans="2:44" ht="15.75" customHeight="1"/>
    <row r="46" spans="2:44" ht="15.75" customHeight="1"/>
    <row r="47" spans="2:44" ht="15.75" customHeight="1"/>
    <row r="48" spans="2:4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AJ3"/>
    <mergeCell ref="L6:AB6"/>
    <mergeCell ref="AC6:AR6"/>
    <mergeCell ref="B36:E36"/>
  </mergeCells>
  <conditionalFormatting sqref="B9:B34">
    <cfRule type="expression" dxfId="10" priority="1">
      <formula>$J9="★"</formula>
    </cfRule>
  </conditionalFormatting>
  <conditionalFormatting sqref="L7:AR7">
    <cfRule type="expression" dxfId="9" priority="2">
      <formula>L$7=TODAY()</formula>
    </cfRule>
  </conditionalFormatting>
  <conditionalFormatting sqref="L7:AR34">
    <cfRule type="expression" dxfId="8" priority="3">
      <formula>L$7=$D$5</formula>
    </cfRule>
  </conditionalFormatting>
  <conditionalFormatting sqref="L9:AR34">
    <cfRule type="expression" dxfId="7" priority="4">
      <formula>AND(AND($G9&lt;&gt;"",L$7&gt;=$G9,L$7&lt;=$H9),$K9="Hoàn thành")</formula>
    </cfRule>
  </conditionalFormatting>
  <conditionalFormatting sqref="L9:AR34">
    <cfRule type="expression" dxfId="6" priority="5">
      <formula>AND(AND($G9&lt;&gt;"",L$7&gt;=$G9,L$7&lt;=$H9),$I9="Sau ngày",$F9="Nam Á Bank")</formula>
    </cfRule>
  </conditionalFormatting>
  <conditionalFormatting sqref="L9:AR34">
    <cfRule type="expression" dxfId="5" priority="6">
      <formula>AND(AND($G9&lt;&gt;"",L$7&gt;=$G9,L$7&lt;=$H9),$I9="Sau ngày",$F9="Xperise")</formula>
    </cfRule>
  </conditionalFormatting>
  <conditionalFormatting sqref="L9:AR34">
    <cfRule type="expression" dxfId="4" priority="7">
      <formula>AND(AND($G9&lt;&gt;"",L$7&gt;=$G9,L$7&lt;=$H9),$I9="Sau ngày")</formula>
    </cfRule>
  </conditionalFormatting>
  <conditionalFormatting sqref="L9:AR34">
    <cfRule type="expression" dxfId="3" priority="8">
      <formula>AND(AND($G9&lt;&gt;"",L$7&gt;=$G9,L$7&lt;=$H9),$F9="Nam Á Bank")</formula>
    </cfRule>
  </conditionalFormatting>
  <conditionalFormatting sqref="L9:AR34">
    <cfRule type="expression" dxfId="2" priority="9">
      <formula>AND(AND($G9&lt;&gt;"",L$7&gt;=$G9,L$7&lt;=$H9),$F9="Xperise")</formula>
    </cfRule>
  </conditionalFormatting>
  <conditionalFormatting sqref="L9:AR34">
    <cfRule type="expression" dxfId="1" priority="10">
      <formula>AND(AND($G9&lt;&gt;"",L$7&gt;=$G9,L$7&lt;=$H9),$F9="Hai bên")</formula>
    </cfRule>
  </conditionalFormatting>
  <conditionalFormatting sqref="L9:AR34">
    <cfRule type="expression" dxfId="0" priority="11">
      <formula>WEEKDAY(L$7,2)&gt;5</formula>
    </cfRule>
  </conditionalFormatting>
  <printOptions horizontalCentered="1"/>
  <pageMargins left="0.4" right="0.4"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quan</vt:lpstr>
      <vt:lpstr>Kế hoạch triển khai</vt:lpstr>
      <vt:lpstr>Sơ đồ chi tiết kế hoạch</vt:lpstr>
      <vt:lpstr>Lịch triển khai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TRI</dc:creator>
  <cp:lastModifiedBy>QUANG TRI</cp:lastModifiedBy>
  <dcterms:created xsi:type="dcterms:W3CDTF">2026-09-18T14:09:48Z</dcterms:created>
  <dcterms:modified xsi:type="dcterms:W3CDTF">2026-09-18T14:09:48Z</dcterms:modified>
</cp:coreProperties>
</file>